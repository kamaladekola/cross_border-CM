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adekola\github_codes\crossborder-CM\Results\"/>
    </mc:Choice>
  </mc:AlternateContent>
  <xr:revisionPtr revIDLastSave="0" documentId="13_ncr:1_{A1A07C79-6587-4C29-8F51-DAFC9567B74A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analysis" sheetId="1" r:id="rId1"/>
    <sheet name="pl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4" i="1"/>
  <c r="L13" i="1"/>
  <c r="E23" i="1"/>
  <c r="L21" i="1"/>
  <c r="L22" i="1"/>
  <c r="L20" i="1"/>
  <c r="D5" i="1"/>
  <c r="C5" i="1"/>
  <c r="B5" i="1"/>
  <c r="E21" i="1"/>
  <c r="E22" i="1"/>
  <c r="E20" i="1"/>
  <c r="E15" i="1"/>
  <c r="E14" i="1"/>
  <c r="E13" i="1"/>
  <c r="E28" i="1"/>
  <c r="E27" i="1"/>
  <c r="E26" i="1"/>
  <c r="L16" i="1" l="1"/>
  <c r="E16" i="1"/>
  <c r="E29" i="1"/>
  <c r="L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tc={3FA10FEE-C86A-4136-8FB8-090B68666114}</author>
    <author>tc={0A1B3005-19DD-4398-AC20-DC7CA7B37746}</author>
  </authors>
  <commentList>
    <comment ref="B12" authorId="0" shapeId="0" xr:uid="{3FA10FEE-C86A-4136-8FB8-090B68666114}">
      <text>
        <t>[Threaded comment]
Your version of Excel allows you to read this threaded comment; however, any edits to it will get removed if the file is opened in a newer version of Excel. Learn more: https://go.microsoft.com/fwlink/?linkid=870924
Comment:
    CM price higher in zone C ~ 98,000.</t>
      </text>
    </comment>
    <comment ref="B13" authorId="1" shapeId="0" xr:uid="{0A1B3005-19DD-4398-AC20-DC7CA7B37746}">
      <text>
        <t>[Threaded comment]
Your version of Excel allows you to read this threaded comment; however, any edits to it will get removed if the file is opened in a newer version of Excel. Learn more: https://go.microsoft.com/fwlink/?linkid=870924
Comment:
    By setting the value of the internal line in zone A to a very high value
Reply:
    CM price convergence</t>
      </text>
    </comment>
  </commentList>
</comments>
</file>

<file path=xl/sharedStrings.xml><?xml version="1.0" encoding="utf-8"?>
<sst xmlns="http://schemas.openxmlformats.org/spreadsheetml/2006/main" count="93" uniqueCount="28">
  <si>
    <t>Zone A</t>
  </si>
  <si>
    <t>Zone B</t>
  </si>
  <si>
    <t>Zone C</t>
  </si>
  <si>
    <t>ENS/interconnection</t>
  </si>
  <si>
    <t>Baseload</t>
  </si>
  <si>
    <t>Zone/Gen</t>
  </si>
  <si>
    <t>A</t>
  </si>
  <si>
    <t>B</t>
  </si>
  <si>
    <t>C</t>
  </si>
  <si>
    <t>Midmerit</t>
  </si>
  <si>
    <t>Peaking</t>
  </si>
  <si>
    <t>Total</t>
  </si>
  <si>
    <t>100% interconnection no CM</t>
  </si>
  <si>
    <t>0% interconnection no CM</t>
  </si>
  <si>
    <t>10% interconnection no CM</t>
  </si>
  <si>
    <t>total ENS</t>
  </si>
  <si>
    <t>0% interconnection with CM everywhere</t>
  </si>
  <si>
    <t>10% interconnection with CM everywhere</t>
  </si>
  <si>
    <t>CM price</t>
  </si>
  <si>
    <t>No CM</t>
  </si>
  <si>
    <t>line_id</t>
  </si>
  <si>
    <t>RAM</t>
  </si>
  <si>
    <t>L1-2</t>
  </si>
  <si>
    <t>L2-4</t>
  </si>
  <si>
    <t>L4-3</t>
  </si>
  <si>
    <t>L3-1</t>
  </si>
  <si>
    <t>No internal line</t>
  </si>
  <si>
    <t>Explicit CM - FBMC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</si>
</sst>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plot!$B$21</c:f>
              <c:strCache>
                <c:ptCount val="1"/>
                <c:pt idx="0">
                  <c:v>No 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plot!$C$20:$E$20</c:f>
              <c:strCache>
                <c:ptCount val="3"/>
                <c:pt idx="0">
                  <c:v>Baseload</c:v>
                </c:pt>
                <c:pt idx="1">
                  <c:v>Midmerit</c:v>
                </c:pt>
                <c:pt idx="2">
                  <c:v>Peaking</c:v>
                </c:pt>
              </c:strCache>
            </c:strRef>
          </c:cat>
          <c:val>
            <c:numRef>
              <c:f>plot!$C$21:$E$21</c:f>
              <c:numCache>
                <c:formatCode>General</c:formatCode>
                <c:ptCount val="3"/>
                <c:pt idx="0">
                  <c:v>7038.0052272657404</c:v>
                </c:pt>
                <c:pt idx="1">
                  <c:v>2349.88365666543</c:v>
                </c:pt>
                <c:pt idx="2">
                  <c:v>1409.6190492086901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1-4665-B2BA-9761EB0943CC}"/>
            </c:ext>
          </c:extLst>
        </c:ser>
        <c:ser>
          <c:idx val="1"/>
          <c:order val="1"/>
          <c:tx>
            <c:strRef>
              <c:f>plot!$B$22</c:f>
              <c:strCache>
                <c:ptCount val="1"/>
                <c:pt idx="0">
                  <c:v>Explicit CM - FBMC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plot!$C$20:$E$20</c:f>
              <c:strCache>
                <c:ptCount val="3"/>
                <c:pt idx="0">
                  <c:v>Baseload</c:v>
                </c:pt>
                <c:pt idx="1">
                  <c:v>Midmerit</c:v>
                </c:pt>
                <c:pt idx="2">
                  <c:v>Peaking</c:v>
                </c:pt>
              </c:strCache>
            </c:strRef>
          </c:cat>
          <c:val>
            <c:numRef>
              <c:f>plot!$C$22:$E$22</c:f>
              <c:numCache>
                <c:formatCode>General</c:formatCode>
                <c:ptCount val="3"/>
                <c:pt idx="0">
                  <c:v>7026.3244010900298</c:v>
                </c:pt>
                <c:pt idx="1">
                  <c:v>2244.2453583629199</c:v>
                </c:pt>
                <c:pt idx="2">
                  <c:v>10723.3038978035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41-4665-B2BA-9761EB0943CC}"/>
            </c:ext>
          </c:extLst>
        </c:ser>
        <c:ser>
          <c:idx val="2"/>
          <c:order val="2"/>
          <c:tx>
            <c:strRef>
              <c:f>plot!$B$23</c:f>
              <c:strCache>
                <c:ptCount val="1"/>
                <c:pt idx="0">
                  <c:v>No internal 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plot!$C$20:$E$20</c:f>
              <c:strCache>
                <c:ptCount val="3"/>
                <c:pt idx="0">
                  <c:v>Baseload</c:v>
                </c:pt>
                <c:pt idx="1">
                  <c:v>Midmerit</c:v>
                </c:pt>
                <c:pt idx="2">
                  <c:v>Peaking</c:v>
                </c:pt>
              </c:strCache>
            </c:strRef>
          </c:cat>
          <c:val>
            <c:numRef>
              <c:f>plot!$C$23:$E$23</c:f>
              <c:numCache>
                <c:formatCode>General</c:formatCode>
                <c:ptCount val="3"/>
                <c:pt idx="0">
                  <c:v>5545.5565673748997</c:v>
                </c:pt>
                <c:pt idx="1">
                  <c:v>1873.2785420048699</c:v>
                </c:pt>
                <c:pt idx="2">
                  <c:v>11435.0978640667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41-4665-B2BA-9761EB094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2100991"/>
        <c:axId val="902102431"/>
      </c:barChart>
      <c:catAx>
        <c:axId val="9021009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02102431"/>
        <c:crosses val="autoZero"/>
        <c:auto val="1"/>
        <c:lblAlgn val="ctr"/>
        <c:lblOffset val="100"/>
        <c:noMultiLvlLbl val="0"/>
      </c:catAx>
      <c:valAx>
        <c:axId val="902102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0210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baseline="0"/>
              <a:t>Installed capacity (Zone A)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plot!$B$11</c:f>
              <c:strCache>
                <c:ptCount val="1"/>
                <c:pt idx="0">
                  <c:v>No 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plot!$C$10:$E$10</c:f>
              <c:strCache>
                <c:ptCount val="3"/>
                <c:pt idx="0">
                  <c:v>Baseload</c:v>
                </c:pt>
                <c:pt idx="1">
                  <c:v>Midmerit</c:v>
                </c:pt>
                <c:pt idx="2">
                  <c:v>Peaking</c:v>
                </c:pt>
              </c:strCache>
            </c:strRef>
          </c:cat>
          <c:val>
            <c:numRef>
              <c:f>plot!$C$11:$E$11</c:f>
              <c:numCache>
                <c:formatCode>General</c:formatCode>
                <c:ptCount val="3"/>
                <c:pt idx="0">
                  <c:v>8894.3519460847001</c:v>
                </c:pt>
                <c:pt idx="1">
                  <c:v>3109.70373080737</c:v>
                </c:pt>
                <c:pt idx="2">
                  <c:v>1557.80516031037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B-4E86-B2BB-8865FD8791F8}"/>
            </c:ext>
          </c:extLst>
        </c:ser>
        <c:ser>
          <c:idx val="1"/>
          <c:order val="1"/>
          <c:tx>
            <c:strRef>
              <c:f>plot!$B$12</c:f>
              <c:strCache>
                <c:ptCount val="1"/>
                <c:pt idx="0">
                  <c:v>Explicit CM - FBMC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plot!$C$10:$E$10</c:f>
              <c:strCache>
                <c:ptCount val="3"/>
                <c:pt idx="0">
                  <c:v>Baseload</c:v>
                </c:pt>
                <c:pt idx="1">
                  <c:v>Midmerit</c:v>
                </c:pt>
                <c:pt idx="2">
                  <c:v>Peaking</c:v>
                </c:pt>
              </c:strCache>
            </c:strRef>
          </c:cat>
          <c:val>
            <c:numRef>
              <c:f>plot!$C$12:$E$12</c:f>
              <c:numCache>
                <c:formatCode>General</c:formatCode>
                <c:ptCount val="3"/>
                <c:pt idx="0">
                  <c:v>8935.3378912254593</c:v>
                </c:pt>
                <c:pt idx="1">
                  <c:v>3187.6927668590502</c:v>
                </c:pt>
                <c:pt idx="2">
                  <c:v>16449.897288759301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B-4E86-B2BB-8865FD8791F8}"/>
            </c:ext>
          </c:extLst>
        </c:ser>
        <c:ser>
          <c:idx val="2"/>
          <c:order val="2"/>
          <c:tx>
            <c:strRef>
              <c:f>plot!$B$13</c:f>
              <c:strCache>
                <c:ptCount val="1"/>
                <c:pt idx="0">
                  <c:v>No internal 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plot!$C$10:$E$10</c:f>
              <c:strCache>
                <c:ptCount val="3"/>
                <c:pt idx="0">
                  <c:v>Baseload</c:v>
                </c:pt>
                <c:pt idx="1">
                  <c:v>Midmerit</c:v>
                </c:pt>
                <c:pt idx="2">
                  <c:v>Peaking</c:v>
                </c:pt>
              </c:strCache>
            </c:strRef>
          </c:cat>
          <c:val>
            <c:numRef>
              <c:f>plot!$C$13:$E$13</c:f>
              <c:numCache>
                <c:formatCode>General</c:formatCode>
                <c:ptCount val="3"/>
                <c:pt idx="0">
                  <c:v>11157.583085022599</c:v>
                </c:pt>
                <c:pt idx="1">
                  <c:v>3743.2398704379002</c:v>
                </c:pt>
                <c:pt idx="2">
                  <c:v>15465.3987896895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0B-4E86-B2BB-8865FD879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1360639"/>
        <c:axId val="1021361119"/>
      </c:barChart>
      <c:catAx>
        <c:axId val="102136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1361119"/>
        <c:crosses val="autoZero"/>
        <c:auto val="1"/>
        <c:lblAlgn val="ctr"/>
        <c:lblOffset val="100"/>
        <c:noMultiLvlLbl val="0"/>
      </c:catAx>
      <c:valAx>
        <c:axId val="102136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136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plot!$B$31</c:f>
              <c:strCache>
                <c:ptCount val="1"/>
                <c:pt idx="0">
                  <c:v>No 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plot!$C$30:$E$30</c:f>
              <c:strCache>
                <c:ptCount val="3"/>
                <c:pt idx="0">
                  <c:v>Baseload</c:v>
                </c:pt>
                <c:pt idx="1">
                  <c:v>Midmerit</c:v>
                </c:pt>
                <c:pt idx="2">
                  <c:v>Peaking</c:v>
                </c:pt>
              </c:strCache>
            </c:strRef>
          </c:cat>
          <c:val>
            <c:numRef>
              <c:f>plot!$C$31:$E$31</c:f>
              <c:numCache>
                <c:formatCode>General</c:formatCode>
                <c:ptCount val="3"/>
                <c:pt idx="0">
                  <c:v>37027.848081017801</c:v>
                </c:pt>
                <c:pt idx="1">
                  <c:v>12114.1232888759</c:v>
                </c:pt>
                <c:pt idx="2">
                  <c:v>5339.3975520272497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9-4FD4-9526-B1CAC4093736}"/>
            </c:ext>
          </c:extLst>
        </c:ser>
        <c:ser>
          <c:idx val="1"/>
          <c:order val="1"/>
          <c:tx>
            <c:strRef>
              <c:f>plot!$B$32</c:f>
              <c:strCache>
                <c:ptCount val="1"/>
                <c:pt idx="0">
                  <c:v>Explicit CM - FBMC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plot!$C$30:$E$30</c:f>
              <c:strCache>
                <c:ptCount val="3"/>
                <c:pt idx="0">
                  <c:v>Baseload</c:v>
                </c:pt>
                <c:pt idx="1">
                  <c:v>Midmerit</c:v>
                </c:pt>
                <c:pt idx="2">
                  <c:v>Peaking</c:v>
                </c:pt>
              </c:strCache>
            </c:strRef>
          </c:cat>
          <c:val>
            <c:numRef>
              <c:f>plot!$C$32:$E$32</c:f>
              <c:numCache>
                <c:formatCode>General</c:formatCode>
                <c:ptCount val="3"/>
                <c:pt idx="0">
                  <c:v>37069.085220973</c:v>
                </c:pt>
                <c:pt idx="1">
                  <c:v>12176.134221369701</c:v>
                </c:pt>
                <c:pt idx="2">
                  <c:v>60587.977941017103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9-4FD4-9526-B1CAC4093736}"/>
            </c:ext>
          </c:extLst>
        </c:ser>
        <c:ser>
          <c:idx val="2"/>
          <c:order val="2"/>
          <c:tx>
            <c:strRef>
              <c:f>plot!$B$33</c:f>
              <c:strCache>
                <c:ptCount val="1"/>
                <c:pt idx="0">
                  <c:v>No internal 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plot!$C$30:$E$30</c:f>
              <c:strCache>
                <c:ptCount val="3"/>
                <c:pt idx="0">
                  <c:v>Baseload</c:v>
                </c:pt>
                <c:pt idx="1">
                  <c:v>Midmerit</c:v>
                </c:pt>
                <c:pt idx="2">
                  <c:v>Peaking</c:v>
                </c:pt>
              </c:strCache>
            </c:strRef>
          </c:cat>
          <c:val>
            <c:numRef>
              <c:f>plot!$C$33:$E$33</c:f>
              <c:numCache>
                <c:formatCode>General</c:formatCode>
                <c:ptCount val="3"/>
                <c:pt idx="0">
                  <c:v>36328.208241298998</c:v>
                </c:pt>
                <c:pt idx="1">
                  <c:v>11991.179370408099</c:v>
                </c:pt>
                <c:pt idx="2">
                  <c:v>60860.477654260998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A9-4FD4-9526-B1CAC4093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3921471"/>
        <c:axId val="863922431"/>
      </c:barChart>
      <c:catAx>
        <c:axId val="863921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63922431"/>
        <c:crosses val="autoZero"/>
        <c:auto val="1"/>
        <c:lblAlgn val="ctr"/>
        <c:lblOffset val="100"/>
        <c:noMultiLvlLbl val="0"/>
      </c:catAx>
      <c:valAx>
        <c:axId val="86392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6392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606425</xdr:colOff>
      <xdr:row>7</xdr:row>
      <xdr:rowOff>0</xdr:rowOff>
    </xdr:from>
    <xdr:to>
      <xdr:col>21</xdr:col>
      <xdr:colOff>412012</xdr:colOff>
      <xdr:row>16</xdr:row>
      <xdr:rowOff>178972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CE2B4C7-8CA5-B29C-881D-B5F77EDC8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1800" y="1266825"/>
          <a:ext cx="4682387" cy="1807747"/>
        </a:xfrm>
        <a:prstGeom prst="rect">
          <a:avLst/>
        </a:prstGeom>
      </xdr:spPr>
    </xdr:pic>
    <xdr:clientData/>
  </xdr:twoCellAnchor>
  <xdr:twoCellAnchor editAs="oneCell">
    <xdr:from>
      <xdr:col>13</xdr:col>
      <xdr:colOff>596900</xdr:colOff>
      <xdr:row>18</xdr:row>
      <xdr:rowOff>0</xdr:rowOff>
    </xdr:from>
    <xdr:to>
      <xdr:col>21</xdr:col>
      <xdr:colOff>231531</xdr:colOff>
      <xdr:row>27</xdr:row>
      <xdr:rowOff>29734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F58FDD2-EC04-5016-F630-F86B8CB5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2275" y="3257550"/>
          <a:ext cx="4511431" cy="1658509"/>
        </a:xfrm>
        <a:prstGeom prst="rect">
          <a:avLst/>
        </a:prstGeom>
      </xdr:spPr>
    </xdr:pic>
    <xdr:clientData/>
  </xdr:twoCellAnchor>
  <xdr:twoCellAnchor editAs="oneCell">
    <xdr:from>
      <xdr:col>14</xdr:col>
      <xdr:colOff>6350</xdr:colOff>
      <xdr:row>28</xdr:row>
      <xdr:rowOff>0</xdr:rowOff>
    </xdr:from>
    <xdr:to>
      <xdr:col>21</xdr:col>
      <xdr:colOff>238641</xdr:colOff>
      <xdr:row>37</xdr:row>
      <xdr:rowOff>8016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CE89713-DAB7-51ED-8F8A-353B86425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31325" y="5067300"/>
          <a:ext cx="4499491" cy="1636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364289</xdr:colOff>
      <xdr:row>10</xdr:row>
      <xdr:rowOff>159721</xdr:rowOff>
    </xdr:from>
    <xdr:to>
      <xdr:col>13</xdr:col>
      <xdr:colOff>584637</xdr:colOff>
      <xdr:row>20</xdr:row>
      <xdr:rowOff>49376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EB1038-D937-22E0-92AB-DB6F1AC48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362936</xdr:colOff>
      <xdr:row>0</xdr:row>
      <xdr:rowOff>48021</xdr:rowOff>
    </xdr:from>
    <xdr:to>
      <xdr:col>14</xdr:col>
      <xdr:colOff>134771</xdr:colOff>
      <xdr:row>9</xdr:row>
      <xdr:rowOff>181768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D3CE2F-6699-919E-EC83-49D8ACBA2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344761</xdr:colOff>
      <xdr:row>20</xdr:row>
      <xdr:rowOff>174187</xdr:rowOff>
    </xdr:from>
    <xdr:to>
      <xdr:col>13</xdr:col>
      <xdr:colOff>552010</xdr:colOff>
      <xdr:row>30</xdr:row>
      <xdr:rowOff>111672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02627E-EDB7-470D-9277-08AD9746D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maldeen Adekola" id="{DEAC662C-4430-45A3-844D-88C8F1103BB6}" userId="S::kadekola@tudelft.nl::49d164b4-13c0-49ed-b3f1-42328926857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5-04-07T13:32:43.14" personId="{DEAC662C-4430-45A3-844D-88C8F1103BB6}" id="{3FA10FEE-C86A-4136-8FB8-090B68666114}">
    <text>CM price higher in zone C ~ 98,000.</text>
  </threadedComment>
  <threadedComment ref="B13" dT="2025-04-07T13:20:55.28" personId="{DEAC662C-4430-45A3-844D-88C8F1103BB6}" id="{0A1B3005-19DD-4398-AC20-DC7CA7B37746}">
    <text>By setting the value of the internal line in zone A to a very high value</text>
  </threadedComment>
  <threadedComment ref="B13" dT="2025-04-07T13:32:08.72" personId="{DEAC662C-4430-45A3-844D-88C8F1103BB6}" id="{DA61E98C-BFC0-480A-BC6D-EE7B79D8704F}" parentId="{0A1B3005-19DD-4398-AC20-DC7CA7B37746}">
    <text>CM price convergence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opLeftCell="D1" zoomScaleNormal="100" workbookViewId="0">
      <selection activeCell="M32" sqref="M32"/>
    </sheetView>
  </sheetViews>
  <sheetFormatPr defaultRowHeight="14.5" x14ac:dyDescent="0.35"/>
  <cols>
    <col min="1" max="1" width="20.08984375" customWidth="1"/>
  </cols>
  <sheetData>
    <row r="1" spans="1:19" x14ac:dyDescent="0.35">
      <c r="A1" t="s">
        <v>3</v>
      </c>
      <c r="B1" s="1">
        <v>0</v>
      </c>
      <c r="C1" s="1">
        <v>0.1</v>
      </c>
      <c r="D1" s="1">
        <v>1</v>
      </c>
    </row>
    <row r="2" spans="1:19" x14ac:dyDescent="0.35">
      <c r="A2" t="s">
        <v>0</v>
      </c>
      <c r="B2">
        <v>7893.84</v>
      </c>
      <c r="C2">
        <v>3837.57</v>
      </c>
      <c r="D2">
        <v>0</v>
      </c>
      <c r="O2" t="s">
        <v>20</v>
      </c>
      <c r="P2" t="s">
        <v>21</v>
      </c>
      <c r="Q2" t="s">
        <v>6</v>
      </c>
      <c r="R2" t="s">
        <v>7</v>
      </c>
      <c r="S2" t="s">
        <v>8</v>
      </c>
    </row>
    <row r="3" spans="1:19" x14ac:dyDescent="0.35">
      <c r="A3" t="s">
        <v>1</v>
      </c>
      <c r="B3">
        <v>5569.07</v>
      </c>
      <c r="C3">
        <v>4199.1940174134697</v>
      </c>
      <c r="D3">
        <v>0</v>
      </c>
      <c r="O3" t="s">
        <v>22</v>
      </c>
      <c r="P3">
        <v>2000</v>
      </c>
      <c r="Q3">
        <v>0.5</v>
      </c>
      <c r="R3">
        <v>0.25</v>
      </c>
      <c r="S3">
        <v>0</v>
      </c>
    </row>
    <row r="4" spans="1:19" x14ac:dyDescent="0.35">
      <c r="A4" t="s">
        <v>2</v>
      </c>
      <c r="B4">
        <v>21873.96</v>
      </c>
      <c r="C4">
        <v>27233.049240410499</v>
      </c>
      <c r="D4">
        <v>34740.1</v>
      </c>
      <c r="O4" t="s">
        <v>23</v>
      </c>
      <c r="P4">
        <v>2000</v>
      </c>
      <c r="Q4">
        <v>0.5</v>
      </c>
      <c r="R4">
        <v>0.25</v>
      </c>
      <c r="S4">
        <v>0</v>
      </c>
    </row>
    <row r="5" spans="1:19" x14ac:dyDescent="0.35">
      <c r="A5" t="s">
        <v>15</v>
      </c>
      <c r="B5">
        <f>B2+B3+B4</f>
        <v>35336.869999999995</v>
      </c>
      <c r="C5">
        <f>C2+C3+C4</f>
        <v>35269.813257823967</v>
      </c>
      <c r="D5">
        <f>D2+D3+D4</f>
        <v>34740.1</v>
      </c>
      <c r="O5" t="s">
        <v>24</v>
      </c>
      <c r="P5">
        <v>2000</v>
      </c>
      <c r="Q5">
        <v>-0.5</v>
      </c>
      <c r="R5">
        <v>-0.75</v>
      </c>
      <c r="S5">
        <v>0</v>
      </c>
    </row>
    <row r="6" spans="1:19" x14ac:dyDescent="0.35">
      <c r="O6" t="s">
        <v>25</v>
      </c>
      <c r="P6">
        <v>2000</v>
      </c>
      <c r="Q6">
        <v>-0.5</v>
      </c>
      <c r="R6">
        <v>0.25</v>
      </c>
      <c r="S6">
        <v>0</v>
      </c>
    </row>
    <row r="10" spans="1:19" x14ac:dyDescent="0.35">
      <c r="A10" t="s">
        <v>19</v>
      </c>
    </row>
    <row r="11" spans="1:19" x14ac:dyDescent="0.35">
      <c r="A11" t="s">
        <v>13</v>
      </c>
      <c r="H11" t="s">
        <v>16</v>
      </c>
    </row>
    <row r="12" spans="1:19" x14ac:dyDescent="0.35">
      <c r="A12" t="s">
        <v>5</v>
      </c>
      <c r="B12" t="s">
        <v>4</v>
      </c>
      <c r="C12" t="s">
        <v>9</v>
      </c>
      <c r="D12" t="s">
        <v>10</v>
      </c>
      <c r="E12" t="s">
        <v>11</v>
      </c>
      <c r="H12" t="s">
        <v>5</v>
      </c>
      <c r="I12" t="s">
        <v>4</v>
      </c>
      <c r="J12" t="s">
        <v>9</v>
      </c>
      <c r="K12" t="s">
        <v>10</v>
      </c>
      <c r="L12" t="s">
        <v>11</v>
      </c>
      <c r="M12" t="s">
        <v>18</v>
      </c>
    </row>
    <row r="13" spans="1:19" x14ac:dyDescent="0.35">
      <c r="A13" t="s">
        <v>6</v>
      </c>
      <c r="B13">
        <v>8092.4503677121402</v>
      </c>
      <c r="C13">
        <v>2919.8837409267899</v>
      </c>
      <c r="D13">
        <v>1576.83</v>
      </c>
      <c r="E13">
        <f>SUM(B13:D13)</f>
        <v>12589.16410863893</v>
      </c>
      <c r="H13" t="s">
        <v>6</v>
      </c>
      <c r="I13">
        <v>8194.6146858843094</v>
      </c>
      <c r="J13">
        <v>3002.5018575624899</v>
      </c>
      <c r="K13">
        <v>17402.862457118401</v>
      </c>
      <c r="L13">
        <f>SUM(I13:K13)</f>
        <v>28599.979000565199</v>
      </c>
      <c r="M13">
        <v>70000</v>
      </c>
    </row>
    <row r="14" spans="1:19" x14ac:dyDescent="0.35">
      <c r="A14" t="s">
        <v>7</v>
      </c>
      <c r="B14">
        <v>5496.1513716400495</v>
      </c>
      <c r="C14">
        <v>1797.0147034187501</v>
      </c>
      <c r="D14">
        <v>1120.78321535848</v>
      </c>
      <c r="E14">
        <f>SUM(B14:D14)</f>
        <v>8413.9492904172803</v>
      </c>
      <c r="H14" t="s">
        <v>7</v>
      </c>
      <c r="I14">
        <v>5544.2582956666101</v>
      </c>
      <c r="J14">
        <v>1874.36347706685</v>
      </c>
      <c r="K14">
        <v>12381.370353896</v>
      </c>
      <c r="L14">
        <f t="shared" ref="L14:L15" si="0">SUM(I14:K14)</f>
        <v>19799.992126629462</v>
      </c>
      <c r="M14">
        <v>70000</v>
      </c>
    </row>
    <row r="15" spans="1:19" x14ac:dyDescent="0.35">
      <c r="A15" t="s">
        <v>8</v>
      </c>
      <c r="B15">
        <v>37800.379510103201</v>
      </c>
      <c r="C15">
        <v>11894.701162085001</v>
      </c>
      <c r="D15">
        <v>5251.5329019124101</v>
      </c>
      <c r="E15">
        <f>SUM(B15:D15)</f>
        <v>54946.613574100615</v>
      </c>
      <c r="H15" t="s">
        <v>8</v>
      </c>
      <c r="I15">
        <v>39527.943249563497</v>
      </c>
      <c r="J15">
        <v>20472.155398011299</v>
      </c>
      <c r="K15">
        <v>49999.999999999898</v>
      </c>
      <c r="L15">
        <f t="shared" si="0"/>
        <v>110000.09864757469</v>
      </c>
      <c r="M15">
        <v>97708.075645081495</v>
      </c>
    </row>
    <row r="16" spans="1:19" x14ac:dyDescent="0.35">
      <c r="E16">
        <f>SUM(E13:E15)</f>
        <v>75949.726973156823</v>
      </c>
      <c r="L16">
        <f>SUM(L13:L15)</f>
        <v>158400.06977476936</v>
      </c>
    </row>
    <row r="18" spans="1:13" x14ac:dyDescent="0.35">
      <c r="A18" t="s">
        <v>14</v>
      </c>
      <c r="H18" t="s">
        <v>17</v>
      </c>
    </row>
    <row r="19" spans="1:13" x14ac:dyDescent="0.35">
      <c r="A19" t="s">
        <v>5</v>
      </c>
      <c r="B19" t="s">
        <v>4</v>
      </c>
      <c r="C19" t="s">
        <v>9</v>
      </c>
      <c r="D19" t="s">
        <v>10</v>
      </c>
      <c r="E19" t="s">
        <v>11</v>
      </c>
      <c r="H19" t="s">
        <v>5</v>
      </c>
      <c r="I19" t="s">
        <v>4</v>
      </c>
      <c r="J19" t="s">
        <v>9</v>
      </c>
      <c r="K19" t="s">
        <v>10</v>
      </c>
      <c r="L19" t="s">
        <v>11</v>
      </c>
      <c r="M19" t="s">
        <v>18</v>
      </c>
    </row>
    <row r="20" spans="1:13" x14ac:dyDescent="0.35">
      <c r="A20" t="s">
        <v>6</v>
      </c>
      <c r="B20">
        <v>11042.494816652399</v>
      </c>
      <c r="C20">
        <v>3657.3760505691298</v>
      </c>
      <c r="D20">
        <v>1868.6229797115</v>
      </c>
      <c r="E20">
        <f>SUM(B20:D20)</f>
        <v>16568.49384693303</v>
      </c>
      <c r="H20" t="s">
        <v>6</v>
      </c>
      <c r="I20">
        <v>11157.6668465568</v>
      </c>
      <c r="J20">
        <v>3743.1696272811701</v>
      </c>
      <c r="K20">
        <v>15686.020590681401</v>
      </c>
      <c r="L20">
        <f>SUM(I20:K20)</f>
        <v>30586.857064519369</v>
      </c>
      <c r="M20">
        <v>70000</v>
      </c>
    </row>
    <row r="21" spans="1:13" x14ac:dyDescent="0.35">
      <c r="A21" t="s">
        <v>7</v>
      </c>
      <c r="B21">
        <v>5496.2473525186397</v>
      </c>
      <c r="C21">
        <v>1793.0956867477</v>
      </c>
      <c r="D21">
        <v>1112.2715496492101</v>
      </c>
      <c r="E21">
        <f t="shared" ref="E21:E22" si="1">SUM(B21:D21)</f>
        <v>8401.6145889155487</v>
      </c>
      <c r="H21" t="s">
        <v>7</v>
      </c>
      <c r="I21">
        <v>5545.3839260090499</v>
      </c>
      <c r="J21">
        <v>1873.42294235594</v>
      </c>
      <c r="K21">
        <v>12394.335191230301</v>
      </c>
      <c r="L21">
        <f t="shared" ref="L21:L22" si="2">SUM(I21:K21)</f>
        <v>19813.142059595291</v>
      </c>
      <c r="M21">
        <v>70000</v>
      </c>
    </row>
    <row r="22" spans="1:13" x14ac:dyDescent="0.35">
      <c r="A22" t="s">
        <v>8</v>
      </c>
      <c r="B22">
        <v>34907.6277217682</v>
      </c>
      <c r="C22">
        <v>11175.236522314</v>
      </c>
      <c r="D22">
        <v>4963.8323084952799</v>
      </c>
      <c r="E22">
        <f t="shared" si="1"/>
        <v>51046.696552577479</v>
      </c>
      <c r="H22" t="s">
        <v>8</v>
      </c>
      <c r="I22">
        <v>36566.833550489901</v>
      </c>
      <c r="J22">
        <v>21433.224391297601</v>
      </c>
      <c r="K22">
        <v>49999.999999999898</v>
      </c>
      <c r="L22">
        <f t="shared" si="2"/>
        <v>108000.0579417874</v>
      </c>
      <c r="M22">
        <v>97877.206595107593</v>
      </c>
    </row>
    <row r="23" spans="1:13" x14ac:dyDescent="0.35">
      <c r="E23">
        <f>SUM(E20:E22)</f>
        <v>76016.804988426054</v>
      </c>
      <c r="L23">
        <f>SUM(L20:L22)</f>
        <v>158400.05706590204</v>
      </c>
    </row>
    <row r="24" spans="1:13" x14ac:dyDescent="0.35">
      <c r="A24" t="s">
        <v>12</v>
      </c>
    </row>
    <row r="25" spans="1:13" x14ac:dyDescent="0.35">
      <c r="A25" t="s">
        <v>5</v>
      </c>
      <c r="B25" t="s">
        <v>4</v>
      </c>
      <c r="C25" t="s">
        <v>9</v>
      </c>
      <c r="D25" t="s">
        <v>10</v>
      </c>
      <c r="E25" t="s">
        <v>11</v>
      </c>
    </row>
    <row r="26" spans="1:13" x14ac:dyDescent="0.35">
      <c r="A26" t="s">
        <v>6</v>
      </c>
      <c r="B26">
        <v>16929.84</v>
      </c>
      <c r="C26">
        <v>5777.66</v>
      </c>
      <c r="D26">
        <v>2804.82</v>
      </c>
      <c r="E26">
        <f>SUM(B26:D26)</f>
        <v>25512.32</v>
      </c>
    </row>
    <row r="27" spans="1:13" x14ac:dyDescent="0.35">
      <c r="A27" t="s">
        <v>7</v>
      </c>
      <c r="B27">
        <v>16930.5</v>
      </c>
      <c r="C27">
        <v>5777.76</v>
      </c>
      <c r="D27">
        <v>2804.86</v>
      </c>
      <c r="E27">
        <f>SUM(B27:D27)</f>
        <v>25513.120000000003</v>
      </c>
    </row>
    <row r="28" spans="1:13" x14ac:dyDescent="0.35">
      <c r="A28" t="s">
        <v>8</v>
      </c>
      <c r="B28">
        <v>16937.060000000001</v>
      </c>
      <c r="C28">
        <v>5778.78</v>
      </c>
      <c r="D28">
        <v>2805.24</v>
      </c>
      <c r="E28">
        <f>SUM(B28:D28)</f>
        <v>25521.08</v>
      </c>
    </row>
    <row r="29" spans="1:13" x14ac:dyDescent="0.35">
      <c r="E29">
        <f>SUM(E26:E28)</f>
        <v>76546.52</v>
      </c>
    </row>
    <row r="40" spans="1:1" x14ac:dyDescent="0.35">
      <c r="A40" s="1"/>
    </row>
    <row r="41" spans="1:1" x14ac:dyDescent="0.35">
      <c r="A41" s="1"/>
    </row>
    <row r="42" spans="1:1" x14ac:dyDescent="0.35">
      <c r="A42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7616-DB5A-4675-84F3-F4854C3C9CFB}">
  <dimension ref="B1:F33"/>
  <sheetViews>
    <sheetView tabSelected="1" zoomScale="98" zoomScaleNormal="145" workbookViewId="0">
      <selection activeCell="C17" sqref="C17"/>
    </sheetView>
  </sheetViews>
  <sheetFormatPr defaultRowHeight="14.5" x14ac:dyDescent="0.35"/>
  <cols>
    <col min="1" max="1" width="8.7265625" customWidth="1"/>
    <col min="2" max="2" width="10" customWidth="1"/>
  </cols>
  <sheetData>
    <row r="1" spans="2:6" x14ac:dyDescent="0.35">
      <c r="B1" t="s">
        <v>20</v>
      </c>
      <c r="C1" t="s">
        <v>21</v>
      </c>
      <c r="D1" t="s">
        <v>6</v>
      </c>
      <c r="E1" t="s">
        <v>7</v>
      </c>
      <c r="F1" t="s">
        <v>8</v>
      </c>
    </row>
    <row r="2" spans="2:6" x14ac:dyDescent="0.35">
      <c r="B2" t="s">
        <v>22</v>
      </c>
      <c r="C2">
        <v>1000</v>
      </c>
      <c r="D2">
        <v>0.5</v>
      </c>
      <c r="E2">
        <v>0.25</v>
      </c>
      <c r="F2">
        <v>0</v>
      </c>
    </row>
    <row r="3" spans="2:6" x14ac:dyDescent="0.35">
      <c r="B3" t="s">
        <v>23</v>
      </c>
      <c r="C3">
        <v>2000</v>
      </c>
      <c r="D3">
        <v>0.5</v>
      </c>
      <c r="E3">
        <v>0.25</v>
      </c>
      <c r="F3">
        <v>0</v>
      </c>
    </row>
    <row r="4" spans="2:6" x14ac:dyDescent="0.35">
      <c r="B4" t="s">
        <v>24</v>
      </c>
      <c r="C4">
        <v>2000</v>
      </c>
      <c r="D4">
        <v>-0.5</v>
      </c>
      <c r="E4">
        <v>-0.75</v>
      </c>
      <c r="F4">
        <v>0</v>
      </c>
    </row>
    <row r="5" spans="2:6" x14ac:dyDescent="0.35">
      <c r="B5" t="s">
        <v>25</v>
      </c>
      <c r="C5">
        <v>2000</v>
      </c>
      <c r="D5">
        <v>-0.5</v>
      </c>
      <c r="E5">
        <v>0.25</v>
      </c>
      <c r="F5">
        <v>0</v>
      </c>
    </row>
    <row r="10" spans="2:6" x14ac:dyDescent="0.35">
      <c r="B10" s="2" t="s">
        <v>0</v>
      </c>
      <c r="C10" s="2" t="s">
        <v>4</v>
      </c>
      <c r="D10" s="2" t="s">
        <v>9</v>
      </c>
      <c r="E10" s="2" t="s">
        <v>10</v>
      </c>
    </row>
    <row r="11" spans="2:6" x14ac:dyDescent="0.35">
      <c r="B11" s="2" t="s">
        <v>19</v>
      </c>
      <c r="C11">
        <v>8894.3519460847001</v>
      </c>
      <c r="D11">
        <v>3109.70373080737</v>
      </c>
      <c r="E11">
        <v>1557.80516031037</v>
      </c>
    </row>
    <row r="12" spans="2:6" x14ac:dyDescent="0.35">
      <c r="B12" s="2" t="s">
        <v>27</v>
      </c>
      <c r="C12">
        <v>8935.3378912254593</v>
      </c>
      <c r="D12">
        <v>3187.6927668590502</v>
      </c>
      <c r="E12">
        <v>16449.897288759301</v>
      </c>
    </row>
    <row r="13" spans="2:6" x14ac:dyDescent="0.35">
      <c r="B13" s="2" t="s">
        <v>26</v>
      </c>
      <c r="C13">
        <v>11157.583085022599</v>
      </c>
      <c r="D13">
        <v>3743.2398704379002</v>
      </c>
      <c r="E13">
        <v>15465.3987896895</v>
      </c>
    </row>
    <row r="20" spans="2:6" x14ac:dyDescent="0.35">
      <c r="B20" s="2" t="s">
        <v>1</v>
      </c>
      <c r="C20" s="2" t="s">
        <v>4</v>
      </c>
      <c r="D20" s="2" t="s">
        <v>9</v>
      </c>
      <c r="E20" s="2" t="s">
        <v>10</v>
      </c>
    </row>
    <row r="21" spans="2:6" x14ac:dyDescent="0.35">
      <c r="B21" s="2" t="s">
        <v>19</v>
      </c>
      <c r="C21">
        <v>7038.0052272657404</v>
      </c>
      <c r="D21">
        <v>2349.88365666543</v>
      </c>
      <c r="E21">
        <v>1409.6190492086901</v>
      </c>
    </row>
    <row r="22" spans="2:6" x14ac:dyDescent="0.35">
      <c r="B22" s="2" t="s">
        <v>27</v>
      </c>
      <c r="C22">
        <v>7026.3244010900298</v>
      </c>
      <c r="D22">
        <v>2244.2453583629199</v>
      </c>
      <c r="E22">
        <v>10723.3038978035</v>
      </c>
    </row>
    <row r="23" spans="2:6" x14ac:dyDescent="0.35">
      <c r="B23" s="2" t="s">
        <v>26</v>
      </c>
      <c r="C23">
        <v>5545.5565673748997</v>
      </c>
      <c r="D23">
        <v>1873.2785420048699</v>
      </c>
      <c r="E23">
        <v>11435.0978640667</v>
      </c>
    </row>
    <row r="30" spans="2:6" x14ac:dyDescent="0.35">
      <c r="B30" s="2" t="s">
        <v>2</v>
      </c>
      <c r="C30" s="2" t="s">
        <v>4</v>
      </c>
      <c r="D30" s="2" t="s">
        <v>9</v>
      </c>
      <c r="E30" s="2" t="s">
        <v>10</v>
      </c>
      <c r="F30" s="2" t="s">
        <v>18</v>
      </c>
    </row>
    <row r="31" spans="2:6" x14ac:dyDescent="0.35">
      <c r="B31" s="2" t="s">
        <v>19</v>
      </c>
      <c r="C31">
        <v>37027.848081017801</v>
      </c>
      <c r="D31">
        <v>12114.1232888759</v>
      </c>
      <c r="E31">
        <v>5339.3975520272497</v>
      </c>
    </row>
    <row r="32" spans="2:6" x14ac:dyDescent="0.35">
      <c r="B32" s="2" t="s">
        <v>27</v>
      </c>
      <c r="C32">
        <v>37069.085220973</v>
      </c>
      <c r="D32">
        <v>12176.134221369701</v>
      </c>
      <c r="E32">
        <v>60587.977941017103</v>
      </c>
    </row>
    <row r="33" spans="2:5" x14ac:dyDescent="0.35">
      <c r="B33" s="2" t="s">
        <v>26</v>
      </c>
      <c r="C33">
        <v>36328.208241298998</v>
      </c>
      <c r="D33">
        <v>11991.179370408099</v>
      </c>
      <c r="E33">
        <v>60860.477654260998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Kamaldeen Adekola</dc:creator>
  <cp:lastModifiedBy>Kamaldeen Adekola</cp:lastModifiedBy>
  <dcterms:created xsi:type="dcterms:W3CDTF">2015-06-05T18:17:20Z</dcterms:created>
  <dcterms:modified xsi:type="dcterms:W3CDTF">2025-04-14T12:55:01Z</dcterms:modified>
</cp:coreProperties>
</file>