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dekola\github_codes\cross_border-CM\analysis_data\"/>
    </mc:Choice>
  </mc:AlternateContent>
  <xr:revisionPtr revIDLastSave="0" documentId="13_ncr:1_{169EBC24-012D-4C7A-953D-D78D8E006A8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ocational_const" sheetId="2" r:id="rId1"/>
    <sheet name="nodal allocation" sheetId="3" r:id="rId2"/>
    <sheet name="ATC_box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3" l="1"/>
  <c r="M30" i="3"/>
  <c r="M31" i="3"/>
  <c r="M32" i="3"/>
  <c r="M35" i="3"/>
  <c r="M36" i="3"/>
  <c r="M37" i="3"/>
  <c r="M38" i="3"/>
  <c r="Q39" i="3"/>
  <c r="Q26" i="3"/>
  <c r="Q20" i="3"/>
  <c r="G23" i="3"/>
  <c r="G22" i="3"/>
  <c r="M17" i="3"/>
  <c r="M18" i="3"/>
  <c r="M19" i="3"/>
  <c r="M16" i="3"/>
  <c r="G4" i="3"/>
  <c r="G10" i="3"/>
  <c r="G11" i="3"/>
  <c r="G16" i="3"/>
  <c r="G17" i="3"/>
  <c r="M22" i="3"/>
  <c r="M23" i="3"/>
  <c r="M24" i="3"/>
  <c r="M25" i="3"/>
  <c r="F10" i="3"/>
  <c r="F13" i="3"/>
  <c r="F12" i="3"/>
  <c r="F11" i="3"/>
  <c r="D8" i="3"/>
  <c r="F7" i="3"/>
  <c r="F6" i="3"/>
  <c r="F5" i="3"/>
  <c r="F4" i="3"/>
  <c r="G5" i="3" s="1"/>
  <c r="F33" i="3"/>
  <c r="D33" i="3"/>
  <c r="D39" i="3"/>
  <c r="F39" i="3"/>
  <c r="D20" i="3"/>
  <c r="D26" i="3"/>
  <c r="F26" i="3"/>
  <c r="D14" i="3"/>
  <c r="F20" i="3"/>
  <c r="F14" i="3" l="1"/>
  <c r="F8" i="3"/>
</calcChain>
</file>

<file path=xl/sharedStrings.xml><?xml version="1.0" encoding="utf-8"?>
<sst xmlns="http://schemas.openxmlformats.org/spreadsheetml/2006/main" count="303" uniqueCount="90">
  <si>
    <t>locational signal</t>
  </si>
  <si>
    <t>Technology</t>
  </si>
  <si>
    <t>EOM</t>
  </si>
  <si>
    <t>price cap</t>
  </si>
  <si>
    <t>NoCBP</t>
  </si>
  <si>
    <t>Implicit</t>
  </si>
  <si>
    <t>NTC</t>
  </si>
  <si>
    <t>FBMC</t>
  </si>
  <si>
    <t>─────┼───────────────────────────</t>
  </si>
  <si>
    <t>─────┼───────────────────────────────</t>
  </si>
  <si>
    <t>simultaneous scarcity</t>
  </si>
  <si>
    <t>scarcity at A</t>
  </si>
  <si>
    <t>scarcity at B</t>
  </si>
  <si>
    <t>scarcity at C</t>
  </si>
  <si>
    <t>Y_Nodal split</t>
  </si>
  <si>
    <t>MCP</t>
  </si>
  <si>
    <t>Planner</t>
  </si>
  <si>
    <t>n1</t>
  </si>
  <si>
    <t>n2</t>
  </si>
  <si>
    <t>n3</t>
  </si>
  <si>
    <t>n4</t>
  </si>
  <si>
    <t>And data, a 5×4 Matrix{Float64}:</t>
  </si>
  <si>
    <t>Price cap</t>
  </si>
  <si>
    <t>─────┼────────────────────────────────</t>
  </si>
  <si>
    <t>No CBP</t>
  </si>
  <si>
    <t>Demand during scarcity</t>
  </si>
  <si>
    <t>5×3</t>
  </si>
  <si>
    <t>DataFrame</t>
  </si>
  <si>
    <t>Row</t>
  </si>
  <si>
    <t>│</t>
  </si>
  <si>
    <t>x1</t>
  </si>
  <si>
    <t>x2</t>
  </si>
  <si>
    <t>x3</t>
  </si>
  <si>
    <t>Float64</t>
  </si>
  <si>
    <t>===</t>
  </si>
  <si>
    <t>ATC-EP</t>
  </si>
  <si>
    <t>results</t>
  </si>
  <si>
    <t>(:A,</t>
  </si>
  <si>
    <t>:C)</t>
  </si>
  <si>
    <t>(:C,</t>
  </si>
  <si>
    <t>:B)</t>
  </si>
  <si>
    <t>(:B,</t>
  </si>
  <si>
    <t>:A)</t>
  </si>
  <si>
    <t>ATC:</t>
  </si>
  <si>
    <t>Dict((:A,</t>
  </si>
  <si>
    <t>=&gt;</t>
  </si>
  <si>
    <t>Simultaneous scarcity</t>
  </si>
  <si>
    <t>Scarcity at A</t>
  </si>
  <si>
    <t>Scarcity at B</t>
  </si>
  <si>
    <t>Scarcity at C</t>
  </si>
  <si>
    <t>A</t>
  </si>
  <si>
    <t>B</t>
  </si>
  <si>
    <t>C</t>
  </si>
  <si>
    <t>Derived from central planner</t>
  </si>
  <si>
    <t>Capacity demand for FBMC</t>
  </si>
  <si>
    <t>Capacity demand for explicit</t>
  </si>
  <si>
    <t>Capacity demand for implicit</t>
  </si>
  <si>
    <t>perfect foresightof scarcity and imports</t>
  </si>
  <si>
    <t>[(2246.2890576658883,</t>
  </si>
  <si>
    <t>-1924.0114138595968),</t>
  </si>
  <si>
    <t>(336.5885861403943,</t>
  </si>
  <si>
    <t>-658.7893222160648),</t>
  </si>
  <si>
    <t>(783.5895291913974,</t>
  </si>
  <si>
    <t>-1105.8610458217672)]</t>
  </si>
  <si>
    <t>(2246.2890576658883,</t>
  </si>
  <si>
    <t>-1105.8610458217672))</t>
  </si>
  <si>
    <t>[(1110.5750000000266,</t>
  </si>
  <si>
    <t>-1110.5750000000266),</t>
  </si>
  <si>
    <t>(257.32500000002506,</t>
  </si>
  <si>
    <t>-257.32500000002506),</t>
  </si>
  <si>
    <t>(343.17499999998194,</t>
  </si>
  <si>
    <t>-343.17499999998205)]</t>
  </si>
  <si>
    <t>(1110.5750000000266,</t>
  </si>
  <si>
    <t>-343.17499999998205))</t>
  </si>
  <si>
    <t>[(3000.0,</t>
  </si>
  <si>
    <t>-2402.1501554283323),</t>
  </si>
  <si>
    <t>(751.0498445716504,</t>
  </si>
  <si>
    <t>-1548.0701515511914),</t>
  </si>
  <si>
    <t>(947.5701515511914,</t>
  </si>
  <si>
    <t>-2143.3400019385663)]</t>
  </si>
  <si>
    <t>(3000.0,</t>
  </si>
  <si>
    <t>-2143.3400019385663))</t>
  </si>
  <si>
    <t>[(2712.2951333043493,</t>
  </si>
  <si>
    <t>-1770.4528585147475),</t>
  </si>
  <si>
    <t>(402.55285851475327,</t>
  </si>
  <si>
    <t>-539.2430206400088),</t>
  </si>
  <si>
    <t>(1389.2432117668968,</t>
  </si>
  <si>
    <t>-2331.904918937371)]</t>
  </si>
  <si>
    <t>(2712.2951333043493,</t>
  </si>
  <si>
    <t>-2331.904918937371))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</si>
</sst>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E373CE"/>
      <name val="Consolas"/>
      <family val="3"/>
    </font>
    <font>
      <i/>
      <sz val="7"/>
      <color rgb="FF5C6370"/>
      <name val="Consolas"/>
      <family val="3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4" xfId="0" applyBorder="1"/>
    <xf numFmtId="0" fontId="0" fillId="0" borderId="6" xfId="0" applyBorder="1"/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F565-2E3F-4051-AE1C-1CCB946DA0D6}">
  <dimension ref="A1:G64"/>
  <sheetViews>
    <sheetView topLeftCell="A18" workbookViewId="0">
      <selection activeCell="O38" sqref="O38"/>
    </sheetView>
  </sheetViews>
  <sheetFormatPr defaultRowHeight="14.5" x14ac:dyDescent="0.35"/>
  <cols>
    <col min="1" max="1" width="14" customWidth="1"/>
  </cols>
  <sheetData>
    <row r="1" spans="1:7" x14ac:dyDescent="0.35">
      <c r="B1" t="s">
        <v>0</v>
      </c>
    </row>
    <row r="2" spans="1:7" x14ac:dyDescent="0.35">
      <c r="A2" t="s">
        <v>2</v>
      </c>
    </row>
    <row r="3" spans="1:7" x14ac:dyDescent="0.35">
      <c r="B3" t="s">
        <v>26</v>
      </c>
      <c r="C3" t="s">
        <v>27</v>
      </c>
    </row>
    <row r="4" spans="1:7" x14ac:dyDescent="0.35">
      <c r="C4" t="s">
        <v>28</v>
      </c>
      <c r="D4" t="s">
        <v>29</v>
      </c>
      <c r="E4" t="s">
        <v>30</v>
      </c>
      <c r="F4" t="s">
        <v>31</v>
      </c>
      <c r="G4" t="s">
        <v>32</v>
      </c>
    </row>
    <row r="5" spans="1:7" x14ac:dyDescent="0.35">
      <c r="C5" t="s">
        <v>29</v>
      </c>
      <c r="D5" t="s">
        <v>33</v>
      </c>
      <c r="E5" t="s">
        <v>33</v>
      </c>
      <c r="F5" t="s">
        <v>33</v>
      </c>
    </row>
    <row r="6" spans="1:7" x14ac:dyDescent="0.35">
      <c r="A6" s="1" t="s">
        <v>1</v>
      </c>
      <c r="B6" t="s">
        <v>9</v>
      </c>
    </row>
    <row r="7" spans="1:7" x14ac:dyDescent="0.35">
      <c r="A7" s="1"/>
      <c r="C7">
        <v>1</v>
      </c>
      <c r="D7" t="s">
        <v>29</v>
      </c>
      <c r="E7">
        <v>45897.4</v>
      </c>
      <c r="F7">
        <v>51034.8</v>
      </c>
      <c r="G7">
        <v>56157.599999999999</v>
      </c>
    </row>
    <row r="8" spans="1:7" x14ac:dyDescent="0.35">
      <c r="A8" s="1"/>
      <c r="C8">
        <v>2</v>
      </c>
      <c r="D8" t="s">
        <v>29</v>
      </c>
      <c r="E8">
        <v>45897.4</v>
      </c>
      <c r="F8">
        <v>51034.8</v>
      </c>
      <c r="G8">
        <v>56157.599999999999</v>
      </c>
    </row>
    <row r="9" spans="1:7" x14ac:dyDescent="0.35">
      <c r="A9" s="1"/>
      <c r="C9">
        <v>3</v>
      </c>
      <c r="D9" t="s">
        <v>29</v>
      </c>
      <c r="E9">
        <v>2017.63</v>
      </c>
      <c r="F9">
        <v>320.00099999999998</v>
      </c>
      <c r="G9">
        <v>1727.89</v>
      </c>
    </row>
    <row r="10" spans="1:7" x14ac:dyDescent="0.35">
      <c r="C10">
        <v>4</v>
      </c>
      <c r="D10" t="s">
        <v>29</v>
      </c>
      <c r="E10">
        <v>45897.4</v>
      </c>
      <c r="F10">
        <v>51034.8</v>
      </c>
      <c r="G10">
        <v>56157.599999999999</v>
      </c>
    </row>
    <row r="11" spans="1:7" x14ac:dyDescent="0.35">
      <c r="C11">
        <v>5</v>
      </c>
      <c r="D11" t="s">
        <v>29</v>
      </c>
      <c r="E11">
        <v>9711.32</v>
      </c>
      <c r="F11">
        <v>6853.67</v>
      </c>
      <c r="G11">
        <v>4599.08</v>
      </c>
    </row>
    <row r="12" spans="1:7" x14ac:dyDescent="0.35">
      <c r="A12" t="s">
        <v>3</v>
      </c>
    </row>
    <row r="13" spans="1:7" x14ac:dyDescent="0.35">
      <c r="C13" t="s">
        <v>28</v>
      </c>
      <c r="D13" t="s">
        <v>29</v>
      </c>
      <c r="E13" t="s">
        <v>30</v>
      </c>
      <c r="F13" t="s">
        <v>31</v>
      </c>
      <c r="G13" t="s">
        <v>32</v>
      </c>
    </row>
    <row r="14" spans="1:7" x14ac:dyDescent="0.35">
      <c r="C14" t="s">
        <v>29</v>
      </c>
      <c r="D14" t="s">
        <v>33</v>
      </c>
      <c r="E14" t="s">
        <v>33</v>
      </c>
      <c r="F14" t="s">
        <v>33</v>
      </c>
    </row>
    <row r="15" spans="1:7" x14ac:dyDescent="0.35">
      <c r="B15" t="s">
        <v>23</v>
      </c>
    </row>
    <row r="16" spans="1:7" x14ac:dyDescent="0.35">
      <c r="C16">
        <v>1</v>
      </c>
      <c r="D16" t="s">
        <v>29</v>
      </c>
      <c r="E16">
        <v>55667.5</v>
      </c>
      <c r="F16">
        <v>69013.3</v>
      </c>
      <c r="G16">
        <v>75320.100000000006</v>
      </c>
    </row>
    <row r="17" spans="1:7" x14ac:dyDescent="0.35">
      <c r="C17">
        <v>2</v>
      </c>
      <c r="D17" t="s">
        <v>29</v>
      </c>
      <c r="E17">
        <v>55667.5</v>
      </c>
      <c r="F17">
        <v>69013.3</v>
      </c>
      <c r="G17">
        <v>75320.100000000006</v>
      </c>
    </row>
    <row r="18" spans="1:7" x14ac:dyDescent="0.35">
      <c r="C18">
        <v>3</v>
      </c>
      <c r="D18" t="s">
        <v>29</v>
      </c>
      <c r="E18">
        <v>1489.58</v>
      </c>
      <c r="F18">
        <v>524.22799999999995</v>
      </c>
      <c r="G18">
        <v>948.27200000000005</v>
      </c>
    </row>
    <row r="19" spans="1:7" x14ac:dyDescent="0.35">
      <c r="C19">
        <v>4</v>
      </c>
      <c r="D19" t="s">
        <v>29</v>
      </c>
      <c r="E19">
        <v>55667.5</v>
      </c>
      <c r="F19">
        <v>69013.3</v>
      </c>
      <c r="G19">
        <v>75320.100000000006</v>
      </c>
    </row>
    <row r="20" spans="1:7" x14ac:dyDescent="0.35">
      <c r="C20">
        <v>5</v>
      </c>
      <c r="D20" t="s">
        <v>29</v>
      </c>
      <c r="E20">
        <v>13968.6</v>
      </c>
      <c r="F20">
        <v>9368</v>
      </c>
      <c r="G20">
        <v>3536.64</v>
      </c>
    </row>
    <row r="22" spans="1:7" x14ac:dyDescent="0.35">
      <c r="A22" t="s">
        <v>4</v>
      </c>
    </row>
    <row r="23" spans="1:7" x14ac:dyDescent="0.35">
      <c r="C23" t="s">
        <v>28</v>
      </c>
      <c r="D23" t="s">
        <v>29</v>
      </c>
      <c r="E23" t="s">
        <v>30</v>
      </c>
      <c r="F23" t="s">
        <v>31</v>
      </c>
      <c r="G23" t="s">
        <v>32</v>
      </c>
    </row>
    <row r="24" spans="1:7" x14ac:dyDescent="0.35">
      <c r="C24" t="s">
        <v>29</v>
      </c>
      <c r="D24" t="s">
        <v>33</v>
      </c>
      <c r="E24" t="s">
        <v>33</v>
      </c>
      <c r="F24" t="s">
        <v>33</v>
      </c>
    </row>
    <row r="25" spans="1:7" x14ac:dyDescent="0.35">
      <c r="B25" t="s">
        <v>8</v>
      </c>
    </row>
    <row r="26" spans="1:7" x14ac:dyDescent="0.35">
      <c r="C26">
        <v>1</v>
      </c>
      <c r="D26" t="s">
        <v>29</v>
      </c>
      <c r="E26">
        <v>70000</v>
      </c>
      <c r="F26">
        <v>73866.3</v>
      </c>
      <c r="G26">
        <v>80000</v>
      </c>
    </row>
    <row r="27" spans="1:7" x14ac:dyDescent="0.35">
      <c r="C27">
        <v>2</v>
      </c>
      <c r="D27" t="s">
        <v>29</v>
      </c>
      <c r="E27">
        <v>70000</v>
      </c>
      <c r="F27">
        <v>73866.3</v>
      </c>
      <c r="G27">
        <v>80000</v>
      </c>
    </row>
    <row r="28" spans="1:7" x14ac:dyDescent="0.35">
      <c r="C28">
        <v>3</v>
      </c>
      <c r="D28" t="s">
        <v>29</v>
      </c>
      <c r="E28">
        <v>70000</v>
      </c>
      <c r="F28">
        <v>73866.3</v>
      </c>
      <c r="G28">
        <v>80000</v>
      </c>
    </row>
    <row r="29" spans="1:7" x14ac:dyDescent="0.35">
      <c r="C29">
        <v>4</v>
      </c>
      <c r="D29" t="s">
        <v>29</v>
      </c>
      <c r="E29">
        <v>70000</v>
      </c>
      <c r="F29">
        <v>73866.3</v>
      </c>
      <c r="G29">
        <v>80000</v>
      </c>
    </row>
    <row r="30" spans="1:7" x14ac:dyDescent="0.35">
      <c r="C30">
        <v>5</v>
      </c>
      <c r="D30" t="s">
        <v>29</v>
      </c>
      <c r="E30">
        <v>70000</v>
      </c>
      <c r="F30">
        <v>73866.3</v>
      </c>
      <c r="G30">
        <v>80000</v>
      </c>
    </row>
    <row r="33" spans="1:7" x14ac:dyDescent="0.35">
      <c r="A33" t="s">
        <v>5</v>
      </c>
    </row>
    <row r="34" spans="1:7" x14ac:dyDescent="0.35">
      <c r="C34" t="s">
        <v>28</v>
      </c>
      <c r="D34" t="s">
        <v>29</v>
      </c>
      <c r="E34" t="s">
        <v>30</v>
      </c>
      <c r="F34" t="s">
        <v>31</v>
      </c>
      <c r="G34" t="s">
        <v>32</v>
      </c>
    </row>
    <row r="35" spans="1:7" x14ac:dyDescent="0.35">
      <c r="C35" t="s">
        <v>29</v>
      </c>
      <c r="D35" t="s">
        <v>33</v>
      </c>
      <c r="E35" t="s">
        <v>33</v>
      </c>
      <c r="F35" t="s">
        <v>33</v>
      </c>
    </row>
    <row r="36" spans="1:7" x14ac:dyDescent="0.35">
      <c r="B36" t="s">
        <v>8</v>
      </c>
    </row>
    <row r="37" spans="1:7" x14ac:dyDescent="0.35">
      <c r="C37">
        <v>1</v>
      </c>
      <c r="D37" t="s">
        <v>29</v>
      </c>
      <c r="E37">
        <v>70000</v>
      </c>
      <c r="F37">
        <v>72538.899999999994</v>
      </c>
      <c r="G37">
        <v>77631.5</v>
      </c>
    </row>
    <row r="38" spans="1:7" x14ac:dyDescent="0.35">
      <c r="C38">
        <v>2</v>
      </c>
      <c r="D38" t="s">
        <v>29</v>
      </c>
      <c r="E38">
        <v>70000</v>
      </c>
      <c r="F38">
        <v>72538.899999999994</v>
      </c>
      <c r="G38">
        <v>77631.5</v>
      </c>
    </row>
    <row r="39" spans="1:7" x14ac:dyDescent="0.35">
      <c r="C39">
        <v>3</v>
      </c>
      <c r="D39" t="s">
        <v>29</v>
      </c>
      <c r="E39">
        <v>70000</v>
      </c>
      <c r="F39">
        <v>71017.399999999994</v>
      </c>
      <c r="G39">
        <v>68030.7</v>
      </c>
    </row>
    <row r="40" spans="1:7" x14ac:dyDescent="0.35">
      <c r="C40">
        <v>4</v>
      </c>
      <c r="D40" t="s">
        <v>29</v>
      </c>
      <c r="E40">
        <v>70000</v>
      </c>
      <c r="F40">
        <v>72538.899999999994</v>
      </c>
      <c r="G40">
        <v>77631.5</v>
      </c>
    </row>
    <row r="41" spans="1:7" x14ac:dyDescent="0.35">
      <c r="C41">
        <v>5</v>
      </c>
      <c r="D41" t="s">
        <v>29</v>
      </c>
      <c r="E41">
        <v>70000</v>
      </c>
      <c r="F41">
        <v>71292.399999999994</v>
      </c>
      <c r="G41">
        <v>68221.3</v>
      </c>
    </row>
    <row r="43" spans="1:7" x14ac:dyDescent="0.35">
      <c r="A43" t="s">
        <v>6</v>
      </c>
    </row>
    <row r="44" spans="1:7" x14ac:dyDescent="0.35">
      <c r="A44" t="s">
        <v>27</v>
      </c>
    </row>
    <row r="45" spans="1:7" x14ac:dyDescent="0.35">
      <c r="C45" t="s">
        <v>28</v>
      </c>
      <c r="D45" t="s">
        <v>29</v>
      </c>
      <c r="E45" t="s">
        <v>30</v>
      </c>
      <c r="F45" t="s">
        <v>31</v>
      </c>
      <c r="G45" t="s">
        <v>32</v>
      </c>
    </row>
    <row r="46" spans="1:7" x14ac:dyDescent="0.35">
      <c r="C46" t="s">
        <v>29</v>
      </c>
      <c r="D46" t="s">
        <v>33</v>
      </c>
      <c r="E46" t="s">
        <v>33</v>
      </c>
      <c r="F46" t="s">
        <v>33</v>
      </c>
    </row>
    <row r="47" spans="1:7" x14ac:dyDescent="0.35">
      <c r="B47" t="s">
        <v>8</v>
      </c>
    </row>
    <row r="48" spans="1:7" x14ac:dyDescent="0.35">
      <c r="C48">
        <v>1</v>
      </c>
      <c r="D48" t="s">
        <v>29</v>
      </c>
      <c r="E48">
        <v>70000</v>
      </c>
      <c r="F48">
        <v>73691</v>
      </c>
      <c r="G48">
        <v>80000</v>
      </c>
    </row>
    <row r="49" spans="1:7" x14ac:dyDescent="0.35">
      <c r="C49">
        <v>2</v>
      </c>
      <c r="D49" t="s">
        <v>29</v>
      </c>
      <c r="E49">
        <v>70000</v>
      </c>
      <c r="F49">
        <v>73691</v>
      </c>
      <c r="G49">
        <v>80000</v>
      </c>
    </row>
    <row r="50" spans="1:7" x14ac:dyDescent="0.35">
      <c r="C50">
        <v>3</v>
      </c>
      <c r="D50" t="s">
        <v>29</v>
      </c>
      <c r="E50">
        <v>70000</v>
      </c>
      <c r="F50">
        <v>72059.5</v>
      </c>
      <c r="G50">
        <v>79047.5</v>
      </c>
    </row>
    <row r="51" spans="1:7" x14ac:dyDescent="0.35">
      <c r="C51">
        <v>4</v>
      </c>
      <c r="D51" t="s">
        <v>29</v>
      </c>
      <c r="E51">
        <v>70000</v>
      </c>
      <c r="F51">
        <v>73691</v>
      </c>
      <c r="G51">
        <v>80000</v>
      </c>
    </row>
    <row r="52" spans="1:7" x14ac:dyDescent="0.35">
      <c r="C52">
        <v>5</v>
      </c>
      <c r="D52" t="s">
        <v>29</v>
      </c>
      <c r="E52">
        <v>70000</v>
      </c>
      <c r="F52">
        <v>72334.600000000006</v>
      </c>
      <c r="G52">
        <v>79173.8</v>
      </c>
    </row>
    <row r="54" spans="1:7" x14ac:dyDescent="0.35">
      <c r="A54" s="5" t="s">
        <v>7</v>
      </c>
    </row>
    <row r="57" spans="1:7" x14ac:dyDescent="0.35">
      <c r="C57" t="s">
        <v>28</v>
      </c>
      <c r="D57" t="s">
        <v>29</v>
      </c>
      <c r="E57" t="s">
        <v>30</v>
      </c>
      <c r="F57" t="s">
        <v>31</v>
      </c>
      <c r="G57" t="s">
        <v>32</v>
      </c>
    </row>
    <row r="58" spans="1:7" x14ac:dyDescent="0.35">
      <c r="C58" t="s">
        <v>29</v>
      </c>
      <c r="D58" t="s">
        <v>33</v>
      </c>
      <c r="E58" t="s">
        <v>33</v>
      </c>
      <c r="F58" t="s">
        <v>33</v>
      </c>
    </row>
    <row r="59" spans="1:7" x14ac:dyDescent="0.35">
      <c r="B59" t="s">
        <v>8</v>
      </c>
    </row>
    <row r="60" spans="1:7" x14ac:dyDescent="0.35">
      <c r="C60">
        <v>1</v>
      </c>
      <c r="D60" t="s">
        <v>29</v>
      </c>
      <c r="E60">
        <v>70000</v>
      </c>
      <c r="F60">
        <v>72503.399999999994</v>
      </c>
      <c r="G60">
        <v>77579.899999999994</v>
      </c>
    </row>
    <row r="61" spans="1:7" x14ac:dyDescent="0.35">
      <c r="C61">
        <v>2</v>
      </c>
      <c r="D61" t="s">
        <v>29</v>
      </c>
      <c r="E61">
        <v>70000</v>
      </c>
      <c r="F61">
        <v>72503.399999999994</v>
      </c>
      <c r="G61">
        <v>77579.899999999994</v>
      </c>
    </row>
    <row r="62" spans="1:7" x14ac:dyDescent="0.35">
      <c r="C62">
        <v>3</v>
      </c>
      <c r="D62" t="s">
        <v>29</v>
      </c>
      <c r="E62">
        <v>70000</v>
      </c>
      <c r="F62">
        <v>70009.3</v>
      </c>
      <c r="G62">
        <v>70699.8</v>
      </c>
    </row>
    <row r="63" spans="1:7" x14ac:dyDescent="0.35">
      <c r="C63">
        <v>4</v>
      </c>
      <c r="D63" t="s">
        <v>29</v>
      </c>
      <c r="E63">
        <v>70000</v>
      </c>
      <c r="F63">
        <v>72503.399999999994</v>
      </c>
      <c r="G63">
        <v>77579.899999999994</v>
      </c>
    </row>
    <row r="64" spans="1:7" x14ac:dyDescent="0.35">
      <c r="C64">
        <v>5</v>
      </c>
      <c r="D64" t="s">
        <v>29</v>
      </c>
      <c r="E64">
        <v>70000</v>
      </c>
      <c r="F64">
        <v>70405.7</v>
      </c>
      <c r="G64">
        <v>70912.600000000006</v>
      </c>
    </row>
  </sheetData>
  <mergeCells count="1">
    <mergeCell ref="A6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A093-846C-4F3B-8C78-08E6801904D8}">
  <dimension ref="A1:S39"/>
  <sheetViews>
    <sheetView tabSelected="1" topLeftCell="A12" workbookViewId="0">
      <selection activeCell="D46" sqref="D46"/>
    </sheetView>
  </sheetViews>
  <sheetFormatPr defaultRowHeight="14.5" x14ac:dyDescent="0.35"/>
  <cols>
    <col min="2" max="2" width="5.1796875" customWidth="1"/>
    <col min="3" max="3" width="3.1796875" customWidth="1"/>
    <col min="4" max="4" width="17.90625" customWidth="1"/>
    <col min="5" max="5" width="3.90625" customWidth="1"/>
    <col min="6" max="6" width="13" customWidth="1"/>
    <col min="8" max="8" width="14.7265625" customWidth="1"/>
    <col min="12" max="12" width="10.6328125" customWidth="1"/>
    <col min="17" max="17" width="16.54296875" customWidth="1"/>
    <col min="18" max="18" width="1.6328125" customWidth="1"/>
    <col min="19" max="19" width="27.26953125" customWidth="1"/>
  </cols>
  <sheetData>
    <row r="1" spans="1:17" x14ac:dyDescent="0.35">
      <c r="A1" s="2" t="s">
        <v>14</v>
      </c>
      <c r="B1" s="2"/>
      <c r="C1" s="2"/>
      <c r="D1" s="2"/>
      <c r="E1" s="2"/>
      <c r="F1" s="2"/>
    </row>
    <row r="2" spans="1:17" x14ac:dyDescent="0.35">
      <c r="A2" s="7" t="s">
        <v>2</v>
      </c>
      <c r="H2" t="s">
        <v>21</v>
      </c>
    </row>
    <row r="3" spans="1:17" x14ac:dyDescent="0.35">
      <c r="A3" s="7"/>
      <c r="B3" s="3"/>
      <c r="C3" s="3"/>
      <c r="D3" t="s">
        <v>15</v>
      </c>
      <c r="F3" t="s">
        <v>16</v>
      </c>
      <c r="H3">
        <v>20553.050692503999</v>
      </c>
      <c r="I3">
        <v>6419.1957387682496</v>
      </c>
      <c r="J3">
        <v>8301.4954943629691</v>
      </c>
      <c r="K3">
        <v>9641.3182327304094</v>
      </c>
    </row>
    <row r="4" spans="1:17" x14ac:dyDescent="0.35">
      <c r="A4" s="7"/>
      <c r="B4" s="3" t="s">
        <v>17</v>
      </c>
      <c r="C4" s="3"/>
      <c r="D4">
        <v>31838.857004241901</v>
      </c>
      <c r="F4">
        <f>SUM(H3:H7)</f>
        <v>30161.610316376529</v>
      </c>
      <c r="G4">
        <f>SUM(D4:D5)</f>
        <v>45192.728483988903</v>
      </c>
      <c r="H4">
        <v>4570.7761766125705</v>
      </c>
      <c r="I4">
        <v>3063.4327105391098</v>
      </c>
      <c r="J4">
        <v>1216.6965776993</v>
      </c>
      <c r="K4">
        <v>2221.66346456981</v>
      </c>
    </row>
    <row r="5" spans="1:17" x14ac:dyDescent="0.35">
      <c r="A5" s="7"/>
      <c r="B5" s="3" t="s">
        <v>18</v>
      </c>
      <c r="C5" s="3"/>
      <c r="D5">
        <v>13353.871479747</v>
      </c>
      <c r="F5">
        <f>SUM(I3:I7)</f>
        <v>12753.466061143241</v>
      </c>
      <c r="G5">
        <f>SUM(F4:F5)</f>
        <v>42915.07637751977</v>
      </c>
      <c r="H5">
        <v>0</v>
      </c>
      <c r="I5">
        <v>0</v>
      </c>
      <c r="J5">
        <v>0</v>
      </c>
      <c r="K5">
        <v>0</v>
      </c>
    </row>
    <row r="6" spans="1:17" x14ac:dyDescent="0.35">
      <c r="A6" s="7"/>
      <c r="B6" s="3" t="s">
        <v>19</v>
      </c>
      <c r="C6" s="3"/>
      <c r="D6">
        <v>10412.5465916298</v>
      </c>
      <c r="F6">
        <f>SUM(J3:J7)</f>
        <v>10773.516150583449</v>
      </c>
      <c r="H6">
        <v>5037.7834472599598</v>
      </c>
      <c r="I6">
        <v>3270.8376118358801</v>
      </c>
      <c r="J6">
        <v>1255.3240785211799</v>
      </c>
      <c r="K6">
        <v>1957.20466786251</v>
      </c>
    </row>
    <row r="7" spans="1:17" x14ac:dyDescent="0.35">
      <c r="A7" s="7"/>
      <c r="B7" s="3" t="s">
        <v>20</v>
      </c>
      <c r="C7" s="3"/>
      <c r="D7">
        <v>11594.3720628314</v>
      </c>
      <c r="F7">
        <f>SUM(K3:K7)</f>
        <v>13820.18636516273</v>
      </c>
      <c r="H7">
        <v>0</v>
      </c>
      <c r="I7">
        <v>0</v>
      </c>
      <c r="J7">
        <v>0</v>
      </c>
      <c r="K7">
        <v>0</v>
      </c>
    </row>
    <row r="8" spans="1:17" x14ac:dyDescent="0.35">
      <c r="A8" s="8"/>
      <c r="B8" s="3"/>
      <c r="C8" s="3"/>
      <c r="D8" s="5">
        <f>SUM(D4:D7)</f>
        <v>67199.647138450106</v>
      </c>
      <c r="E8" s="5"/>
      <c r="F8" s="5">
        <f>SUM(F4:F7)</f>
        <v>67508.778893265946</v>
      </c>
    </row>
    <row r="9" spans="1:17" x14ac:dyDescent="0.35">
      <c r="A9" s="7" t="s">
        <v>22</v>
      </c>
      <c r="B9" s="3"/>
      <c r="C9" s="3"/>
      <c r="H9" t="s">
        <v>21</v>
      </c>
    </row>
    <row r="10" spans="1:17" x14ac:dyDescent="0.35">
      <c r="A10" s="7"/>
      <c r="B10" s="3" t="s">
        <v>17</v>
      </c>
      <c r="C10" s="3"/>
      <c r="D10">
        <v>24582.814326698201</v>
      </c>
      <c r="F10">
        <f>SUM(H10:H14)</f>
        <v>24328.312939775838</v>
      </c>
      <c r="G10">
        <f>SUM(D10:D11)</f>
        <v>33522.686203097903</v>
      </c>
      <c r="H10">
        <v>19878.5927050555</v>
      </c>
      <c r="I10">
        <v>5479.4785871971899</v>
      </c>
      <c r="J10">
        <v>8997.3552790589092</v>
      </c>
      <c r="K10">
        <v>9817.1056173450506</v>
      </c>
    </row>
    <row r="11" spans="1:17" x14ac:dyDescent="0.35">
      <c r="A11" s="7"/>
      <c r="B11" s="3" t="s">
        <v>18</v>
      </c>
      <c r="C11" s="3"/>
      <c r="D11">
        <v>8939.8718763997003</v>
      </c>
      <c r="F11">
        <f>SUM(I10:I14)</f>
        <v>8472.5814712016418</v>
      </c>
      <c r="G11">
        <f>SUM(F10:F11)</f>
        <v>32800.894410977482</v>
      </c>
      <c r="H11">
        <v>3742.66040444483</v>
      </c>
      <c r="I11">
        <v>2385.1603031363402</v>
      </c>
      <c r="J11">
        <v>2336.9444082216801</v>
      </c>
      <c r="K11">
        <v>2665.0273956394799</v>
      </c>
    </row>
    <row r="12" spans="1:17" x14ac:dyDescent="0.35">
      <c r="A12" s="7"/>
      <c r="B12" s="3" t="s">
        <v>19</v>
      </c>
      <c r="C12" s="3"/>
      <c r="D12">
        <v>14000.609851065101</v>
      </c>
      <c r="F12">
        <f>SUM(J10:J14)</f>
        <v>13018.645624896419</v>
      </c>
      <c r="H12">
        <v>0</v>
      </c>
      <c r="I12">
        <v>0</v>
      </c>
      <c r="J12">
        <v>0</v>
      </c>
      <c r="K12">
        <v>0</v>
      </c>
    </row>
    <row r="13" spans="1:17" x14ac:dyDescent="0.35">
      <c r="A13" s="7"/>
      <c r="B13" s="3" t="s">
        <v>20</v>
      </c>
      <c r="C13" s="3"/>
      <c r="D13">
        <v>12991.0577834386</v>
      </c>
      <c r="F13">
        <f>SUM(K10:K14)</f>
        <v>14699.94246519664</v>
      </c>
      <c r="H13">
        <v>707.05983027550894</v>
      </c>
      <c r="I13">
        <v>607.94258086811203</v>
      </c>
      <c r="J13">
        <v>1684.3459376158301</v>
      </c>
      <c r="K13">
        <v>2217.80945221211</v>
      </c>
    </row>
    <row r="14" spans="1:17" x14ac:dyDescent="0.35">
      <c r="A14" s="7"/>
      <c r="D14" s="5">
        <f>SUM(D10:D13)</f>
        <v>60514.3538376016</v>
      </c>
      <c r="E14" s="5"/>
      <c r="F14" s="5">
        <f>SUM(F10:F13)</f>
        <v>60519.482501070539</v>
      </c>
      <c r="H14">
        <v>0</v>
      </c>
      <c r="I14">
        <v>0</v>
      </c>
      <c r="J14">
        <v>0</v>
      </c>
      <c r="K14">
        <v>0</v>
      </c>
    </row>
    <row r="15" spans="1:17" ht="15" thickBot="1" x14ac:dyDescent="0.4">
      <c r="A15" s="7" t="s">
        <v>24</v>
      </c>
      <c r="H15" t="s">
        <v>25</v>
      </c>
      <c r="I15" s="5" t="s">
        <v>17</v>
      </c>
      <c r="J15" s="5" t="s">
        <v>18</v>
      </c>
      <c r="K15" s="5" t="s">
        <v>19</v>
      </c>
      <c r="L15" s="5" t="s">
        <v>20</v>
      </c>
    </row>
    <row r="16" spans="1:17" x14ac:dyDescent="0.35">
      <c r="A16" s="7"/>
      <c r="B16" s="3" t="s">
        <v>17</v>
      </c>
      <c r="C16" s="3"/>
      <c r="D16">
        <v>47375.413458884999</v>
      </c>
      <c r="F16">
        <v>46499.4</v>
      </c>
      <c r="G16">
        <f>SUM(D16:D17)</f>
        <v>71032.150000432099</v>
      </c>
      <c r="H16" s="5" t="s">
        <v>10</v>
      </c>
      <c r="I16">
        <v>47236.4</v>
      </c>
      <c r="J16">
        <v>20244.2</v>
      </c>
      <c r="K16">
        <v>13779.9</v>
      </c>
      <c r="L16">
        <v>16960.900000000001</v>
      </c>
      <c r="M16">
        <f>SUM(I16:L16)</f>
        <v>98221.4</v>
      </c>
      <c r="P16" s="14" t="s">
        <v>55</v>
      </c>
      <c r="Q16" s="15"/>
    </row>
    <row r="17" spans="1:19" x14ac:dyDescent="0.35">
      <c r="A17" s="7"/>
      <c r="B17" s="3" t="s">
        <v>18</v>
      </c>
      <c r="C17" s="3"/>
      <c r="D17">
        <v>23656.736541547099</v>
      </c>
      <c r="F17">
        <v>24532.7</v>
      </c>
      <c r="G17">
        <f>SUM(F16:F17)</f>
        <v>71032.100000000006</v>
      </c>
      <c r="H17" s="5" t="s">
        <v>11</v>
      </c>
      <c r="I17">
        <v>49722.5</v>
      </c>
      <c r="J17">
        <v>21309.599999999999</v>
      </c>
      <c r="K17">
        <v>13054.6</v>
      </c>
      <c r="L17">
        <v>16068.2</v>
      </c>
      <c r="M17">
        <f t="shared" ref="M17:M19" si="0">SUM(I17:L17)</f>
        <v>100154.90000000001</v>
      </c>
      <c r="P17" s="12" t="s">
        <v>50</v>
      </c>
      <c r="Q17" s="10">
        <v>71032.149999999994</v>
      </c>
    </row>
    <row r="18" spans="1:19" x14ac:dyDescent="0.35">
      <c r="A18" s="7"/>
      <c r="B18" s="3" t="s">
        <v>19</v>
      </c>
      <c r="C18" s="3"/>
      <c r="D18">
        <v>14505.139964446</v>
      </c>
      <c r="F18">
        <v>14505.1</v>
      </c>
      <c r="H18" s="5" t="s">
        <v>12</v>
      </c>
      <c r="I18">
        <v>44750.3</v>
      </c>
      <c r="J18">
        <v>19178.7</v>
      </c>
      <c r="K18">
        <v>14505.1</v>
      </c>
      <c r="L18">
        <v>16068.2</v>
      </c>
      <c r="M18">
        <f t="shared" si="0"/>
        <v>94502.3</v>
      </c>
      <c r="P18" s="12" t="s">
        <v>51</v>
      </c>
      <c r="Q18" s="10">
        <v>14505.14</v>
      </c>
    </row>
    <row r="19" spans="1:19" ht="15" thickBot="1" x14ac:dyDescent="0.4">
      <c r="A19" s="7"/>
      <c r="B19" s="3" t="s">
        <v>20</v>
      </c>
      <c r="C19" s="3"/>
      <c r="D19">
        <v>17853.548584189601</v>
      </c>
      <c r="F19">
        <v>17853.599999999999</v>
      </c>
      <c r="H19" s="5" t="s">
        <v>13</v>
      </c>
      <c r="I19">
        <v>44750.3</v>
      </c>
      <c r="J19">
        <v>19178.7</v>
      </c>
      <c r="K19">
        <v>13054.6</v>
      </c>
      <c r="L19">
        <v>17853.5</v>
      </c>
      <c r="M19">
        <f t="shared" si="0"/>
        <v>94837.1</v>
      </c>
      <c r="P19" s="13" t="s">
        <v>52</v>
      </c>
      <c r="Q19" s="11">
        <v>17853.55</v>
      </c>
    </row>
    <row r="20" spans="1:19" x14ac:dyDescent="0.35">
      <c r="A20" s="7"/>
      <c r="D20" s="5">
        <f>SUM(D16:D19)</f>
        <v>103390.8385490677</v>
      </c>
      <c r="E20" s="5"/>
      <c r="F20" s="5">
        <f t="shared" ref="F20" si="1">SUM(F16:F19)</f>
        <v>103390.80000000002</v>
      </c>
      <c r="Q20">
        <f>SUM(Q17:Q19)</f>
        <v>103390.84</v>
      </c>
    </row>
    <row r="21" spans="1:19" ht="15" thickBot="1" x14ac:dyDescent="0.4">
      <c r="A21" s="7" t="s">
        <v>7</v>
      </c>
    </row>
    <row r="22" spans="1:19" x14ac:dyDescent="0.35">
      <c r="A22" s="7"/>
      <c r="B22" s="3" t="s">
        <v>17</v>
      </c>
      <c r="C22" s="3"/>
      <c r="D22">
        <v>47220.575097456698</v>
      </c>
      <c r="F22" s="18">
        <v>48182.9</v>
      </c>
      <c r="G22">
        <f>SUM(D22:D23)</f>
        <v>72872.874314064902</v>
      </c>
      <c r="H22" s="5" t="s">
        <v>10</v>
      </c>
      <c r="I22">
        <v>47236.4</v>
      </c>
      <c r="J22">
        <v>20244.2</v>
      </c>
      <c r="K22">
        <v>13779.9</v>
      </c>
      <c r="L22">
        <v>16960.900000000001</v>
      </c>
      <c r="M22">
        <f t="shared" ref="M17:M38" si="2">SUM(I22:L22)</f>
        <v>98221.4</v>
      </c>
      <c r="P22" s="14" t="s">
        <v>54</v>
      </c>
      <c r="Q22" s="15"/>
      <c r="R22" s="16"/>
      <c r="S22" s="9" t="s">
        <v>53</v>
      </c>
    </row>
    <row r="23" spans="1:19" x14ac:dyDescent="0.35">
      <c r="A23" s="7"/>
      <c r="B23" s="3" t="s">
        <v>18</v>
      </c>
      <c r="C23" s="3"/>
      <c r="D23">
        <v>25652.2992166082</v>
      </c>
      <c r="F23" s="18">
        <v>23616.6</v>
      </c>
      <c r="G23">
        <f>SUM(F22:F23)</f>
        <v>71799.5</v>
      </c>
      <c r="H23" s="5" t="s">
        <v>11</v>
      </c>
      <c r="I23">
        <v>49722.5</v>
      </c>
      <c r="J23">
        <v>21309.599999999999</v>
      </c>
      <c r="K23">
        <v>13054.6</v>
      </c>
      <c r="L23">
        <v>16068.2</v>
      </c>
      <c r="M23">
        <f t="shared" si="2"/>
        <v>100154.90000000001</v>
      </c>
      <c r="O23" s="6"/>
      <c r="P23" s="12" t="s">
        <v>50</v>
      </c>
      <c r="Q23" s="10">
        <v>70327.55</v>
      </c>
      <c r="R23" s="17"/>
    </row>
    <row r="24" spans="1:19" x14ac:dyDescent="0.35">
      <c r="A24" s="7"/>
      <c r="B24" s="3" t="s">
        <v>19</v>
      </c>
      <c r="C24" s="3"/>
      <c r="D24">
        <v>14261.649015321</v>
      </c>
      <c r="F24" s="18">
        <v>13655.1</v>
      </c>
      <c r="H24" s="5" t="s">
        <v>12</v>
      </c>
      <c r="I24">
        <v>44750.3</v>
      </c>
      <c r="J24">
        <v>19178.7</v>
      </c>
      <c r="K24">
        <v>14505.1</v>
      </c>
      <c r="L24">
        <v>16068.2</v>
      </c>
      <c r="M24">
        <f t="shared" si="2"/>
        <v>94502.3</v>
      </c>
      <c r="O24" s="4"/>
      <c r="P24" s="12" t="s">
        <v>51</v>
      </c>
      <c r="Q24" s="10">
        <v>13952.64</v>
      </c>
      <c r="R24" s="17"/>
    </row>
    <row r="25" spans="1:19" ht="15" thickBot="1" x14ac:dyDescent="0.4">
      <c r="A25" s="7"/>
      <c r="B25" s="3" t="s">
        <v>20</v>
      </c>
      <c r="C25" s="3"/>
      <c r="D25">
        <v>13020.4466708369</v>
      </c>
      <c r="F25" s="18">
        <v>14700.3</v>
      </c>
      <c r="H25" s="5" t="s">
        <v>13</v>
      </c>
      <c r="I25">
        <v>44750.3</v>
      </c>
      <c r="J25">
        <v>19178.7</v>
      </c>
      <c r="K25">
        <v>13054.6</v>
      </c>
      <c r="L25">
        <v>17853.5</v>
      </c>
      <c r="M25">
        <f t="shared" si="2"/>
        <v>94837.1</v>
      </c>
      <c r="O25" s="4"/>
      <c r="P25" s="13" t="s">
        <v>52</v>
      </c>
      <c r="Q25" s="11">
        <v>15874.78</v>
      </c>
      <c r="R25" s="17"/>
    </row>
    <row r="26" spans="1:19" x14ac:dyDescent="0.35">
      <c r="A26" s="7"/>
      <c r="D26" s="5">
        <f>SUM(D22:D25)</f>
        <v>100154.97000022281</v>
      </c>
      <c r="E26" s="5"/>
      <c r="F26" s="5">
        <f>SUM(F22:F25)</f>
        <v>100154.90000000001</v>
      </c>
      <c r="Q26">
        <f>SUM(Q23:Q25)</f>
        <v>100154.97</v>
      </c>
    </row>
    <row r="27" spans="1:19" x14ac:dyDescent="0.35">
      <c r="A27" s="7" t="s">
        <v>6</v>
      </c>
    </row>
    <row r="28" spans="1:19" x14ac:dyDescent="0.35">
      <c r="A28" s="7"/>
    </row>
    <row r="29" spans="1:19" x14ac:dyDescent="0.35">
      <c r="A29" s="7"/>
      <c r="B29" s="3" t="s">
        <v>17</v>
      </c>
      <c r="C29" s="3"/>
      <c r="D29">
        <v>47513.203383841203</v>
      </c>
      <c r="F29">
        <v>47013.4</v>
      </c>
      <c r="H29" s="5" t="s">
        <v>10</v>
      </c>
      <c r="I29">
        <v>47236.4</v>
      </c>
      <c r="J29">
        <v>20244.2</v>
      </c>
      <c r="K29">
        <v>13779.9</v>
      </c>
      <c r="L29">
        <v>16960.900000000001</v>
      </c>
      <c r="M29">
        <f t="shared" si="2"/>
        <v>98221.4</v>
      </c>
    </row>
    <row r="30" spans="1:19" x14ac:dyDescent="0.35">
      <c r="A30" s="7"/>
      <c r="B30" s="3" t="s">
        <v>18</v>
      </c>
      <c r="C30" s="3"/>
      <c r="D30">
        <v>25735.4466152645</v>
      </c>
      <c r="F30">
        <v>26235.3</v>
      </c>
      <c r="H30" s="5" t="s">
        <v>11</v>
      </c>
      <c r="I30">
        <v>49722.5</v>
      </c>
      <c r="J30">
        <v>21309.599999999999</v>
      </c>
      <c r="K30">
        <v>13054.6</v>
      </c>
      <c r="L30">
        <v>16068.2</v>
      </c>
      <c r="M30">
        <f t="shared" si="2"/>
        <v>100154.90000000001</v>
      </c>
    </row>
    <row r="31" spans="1:19" x14ac:dyDescent="0.35">
      <c r="A31" s="7"/>
      <c r="B31" s="3" t="s">
        <v>19</v>
      </c>
      <c r="C31" s="3"/>
      <c r="D31">
        <v>13594.8574070053</v>
      </c>
      <c r="F31">
        <v>13656.5</v>
      </c>
      <c r="H31" s="5" t="s">
        <v>12</v>
      </c>
      <c r="I31">
        <v>44750.3</v>
      </c>
      <c r="J31">
        <v>19178.7</v>
      </c>
      <c r="K31">
        <v>14505.1</v>
      </c>
      <c r="L31">
        <v>16068.2</v>
      </c>
      <c r="M31">
        <f t="shared" si="2"/>
        <v>94502.3</v>
      </c>
    </row>
    <row r="32" spans="1:19" x14ac:dyDescent="0.35">
      <c r="A32" s="7"/>
      <c r="B32" s="3" t="s">
        <v>20</v>
      </c>
      <c r="C32" s="3"/>
      <c r="D32">
        <v>16547.3221760987</v>
      </c>
      <c r="F32">
        <v>16485.7</v>
      </c>
      <c r="H32" s="5" t="s">
        <v>13</v>
      </c>
      <c r="I32">
        <v>44750.3</v>
      </c>
      <c r="J32">
        <v>19178.7</v>
      </c>
      <c r="K32">
        <v>13054.6</v>
      </c>
      <c r="L32">
        <v>17853.5</v>
      </c>
      <c r="M32">
        <f t="shared" si="2"/>
        <v>94837.1</v>
      </c>
    </row>
    <row r="33" spans="1:19" x14ac:dyDescent="0.35">
      <c r="A33" s="8"/>
      <c r="B33" s="3"/>
      <c r="C33" s="3"/>
      <c r="D33" s="5">
        <f>SUM(D29:D32)</f>
        <v>103390.8295822097</v>
      </c>
      <c r="E33" s="5"/>
      <c r="F33" s="5">
        <f t="shared" ref="F33" si="3">SUM(F29:F32)</f>
        <v>103390.9</v>
      </c>
    </row>
    <row r="34" spans="1:19" ht="15" thickBot="1" x14ac:dyDescent="0.4">
      <c r="A34" s="7" t="s">
        <v>5</v>
      </c>
    </row>
    <row r="35" spans="1:19" x14ac:dyDescent="0.35">
      <c r="A35" s="7"/>
      <c r="D35">
        <v>46309.624798052799</v>
      </c>
      <c r="F35">
        <v>45138.7</v>
      </c>
      <c r="H35" s="5" t="s">
        <v>10</v>
      </c>
      <c r="I35">
        <v>43246.400000000001</v>
      </c>
      <c r="J35">
        <v>18534.2</v>
      </c>
      <c r="K35">
        <v>13179.5</v>
      </c>
      <c r="L35">
        <v>13940.1</v>
      </c>
      <c r="M35">
        <f t="shared" ref="M32:M36" si="4">SUM(I35:L35)</f>
        <v>88900.200000000012</v>
      </c>
      <c r="P35" s="14" t="s">
        <v>56</v>
      </c>
      <c r="Q35" s="15"/>
      <c r="S35" t="s">
        <v>57</v>
      </c>
    </row>
    <row r="36" spans="1:19" x14ac:dyDescent="0.35">
      <c r="A36" s="7"/>
      <c r="D36">
        <v>18722.525201230499</v>
      </c>
      <c r="F36">
        <v>19893.5</v>
      </c>
      <c r="H36" s="5" t="s">
        <v>11</v>
      </c>
      <c r="I36">
        <v>45522.5</v>
      </c>
      <c r="J36">
        <v>19509.599999999999</v>
      </c>
      <c r="K36">
        <v>12485.8</v>
      </c>
      <c r="L36">
        <v>13206.4</v>
      </c>
      <c r="M36">
        <f t="shared" si="4"/>
        <v>90724.299999999988</v>
      </c>
      <c r="P36" s="12" t="s">
        <v>50</v>
      </c>
      <c r="Q36" s="10">
        <v>65032.15</v>
      </c>
    </row>
    <row r="37" spans="1:19" x14ac:dyDescent="0.35">
      <c r="A37" s="7"/>
      <c r="D37">
        <v>13873.150417053001</v>
      </c>
      <c r="F37">
        <v>13873.2</v>
      </c>
      <c r="H37" s="5" t="s">
        <v>12</v>
      </c>
      <c r="I37">
        <v>40970.300000000003</v>
      </c>
      <c r="J37">
        <v>17558.7</v>
      </c>
      <c r="K37">
        <v>13873.1</v>
      </c>
      <c r="L37">
        <v>13206.4</v>
      </c>
      <c r="M37">
        <f t="shared" si="2"/>
        <v>85608.5</v>
      </c>
      <c r="P37" s="12" t="s">
        <v>51</v>
      </c>
      <c r="Q37" s="10">
        <v>13873.15</v>
      </c>
    </row>
    <row r="38" spans="1:19" ht="15" thickBot="1" x14ac:dyDescent="0.4">
      <c r="A38" s="7"/>
      <c r="D38">
        <v>14673.799825194799</v>
      </c>
      <c r="F38">
        <v>14673.8</v>
      </c>
      <c r="H38" s="5" t="s">
        <v>13</v>
      </c>
      <c r="I38">
        <v>40970.300000000003</v>
      </c>
      <c r="J38">
        <v>17558.7</v>
      </c>
      <c r="K38">
        <v>12485.8</v>
      </c>
      <c r="L38">
        <v>14673.8</v>
      </c>
      <c r="M38">
        <f t="shared" si="2"/>
        <v>85688.6</v>
      </c>
      <c r="P38" s="13" t="s">
        <v>52</v>
      </c>
      <c r="Q38" s="11">
        <v>14673.8</v>
      </c>
    </row>
    <row r="39" spans="1:19" x14ac:dyDescent="0.35">
      <c r="A39" s="7"/>
      <c r="D39" s="5">
        <f>SUM(D35:D38)</f>
        <v>93579.100241531094</v>
      </c>
      <c r="E39" s="5"/>
      <c r="F39" s="5">
        <f>SUM(F35:F38)</f>
        <v>93579.199999999997</v>
      </c>
      <c r="Q39">
        <f>SUM(Q36:Q38)</f>
        <v>93579.1</v>
      </c>
    </row>
  </sheetData>
  <mergeCells count="10">
    <mergeCell ref="P22:Q22"/>
    <mergeCell ref="P35:Q35"/>
    <mergeCell ref="P16:Q16"/>
    <mergeCell ref="A21:A26"/>
    <mergeCell ref="A27:A32"/>
    <mergeCell ref="A34:A39"/>
    <mergeCell ref="A1:F1"/>
    <mergeCell ref="A2:A7"/>
    <mergeCell ref="A9:A14"/>
    <mergeCell ref="A15:A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1C82-6C6D-40EE-8BF2-E9DADBE04603}">
  <dimension ref="B1:Q34"/>
  <sheetViews>
    <sheetView workbookViewId="0">
      <selection activeCell="F22" sqref="F22"/>
    </sheetView>
  </sheetViews>
  <sheetFormatPr defaultRowHeight="14.5" x14ac:dyDescent="0.35"/>
  <cols>
    <col min="5" max="5" width="20" customWidth="1"/>
    <col min="6" max="6" width="22.1796875" customWidth="1"/>
    <col min="7" max="7" width="22.08984375" customWidth="1"/>
  </cols>
  <sheetData>
    <row r="1" spans="2:17" ht="22" customHeight="1" x14ac:dyDescent="0.35">
      <c r="B1" s="5" t="s">
        <v>46</v>
      </c>
    </row>
    <row r="2" spans="2:17" x14ac:dyDescent="0.35">
      <c r="B2" t="s">
        <v>34</v>
      </c>
      <c r="C2" t="s">
        <v>35</v>
      </c>
      <c r="D2" t="s">
        <v>36</v>
      </c>
      <c r="E2" t="s">
        <v>34</v>
      </c>
    </row>
    <row r="3" spans="2:17" x14ac:dyDescent="0.35">
      <c r="C3" t="s">
        <v>37</v>
      </c>
      <c r="D3" t="s">
        <v>38</v>
      </c>
      <c r="E3">
        <v>2246.3000000000002</v>
      </c>
      <c r="F3">
        <v>-1924</v>
      </c>
    </row>
    <row r="4" spans="2:17" x14ac:dyDescent="0.35">
      <c r="C4" t="s">
        <v>39</v>
      </c>
      <c r="D4" t="s">
        <v>40</v>
      </c>
      <c r="E4">
        <v>-336.6</v>
      </c>
      <c r="F4">
        <v>658.8</v>
      </c>
    </row>
    <row r="5" spans="2:17" x14ac:dyDescent="0.35">
      <c r="C5" t="s">
        <v>41</v>
      </c>
      <c r="D5" t="s">
        <v>42</v>
      </c>
      <c r="E5">
        <v>-783.6</v>
      </c>
      <c r="F5">
        <v>1105.9000000000001</v>
      </c>
    </row>
    <row r="6" spans="2:17" x14ac:dyDescent="0.35">
      <c r="B6" t="s">
        <v>43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</row>
    <row r="7" spans="2:17" x14ac:dyDescent="0.35">
      <c r="B7" t="s">
        <v>43</v>
      </c>
      <c r="C7" t="s">
        <v>44</v>
      </c>
      <c r="D7" t="s">
        <v>38</v>
      </c>
      <c r="E7" t="s">
        <v>45</v>
      </c>
      <c r="F7" t="s">
        <v>64</v>
      </c>
      <c r="G7" t="s">
        <v>59</v>
      </c>
      <c r="H7" t="s">
        <v>39</v>
      </c>
      <c r="I7" t="s">
        <v>40</v>
      </c>
      <c r="J7" t="s">
        <v>45</v>
      </c>
      <c r="K7" t="s">
        <v>60</v>
      </c>
      <c r="L7" t="s">
        <v>61</v>
      </c>
      <c r="M7" t="s">
        <v>41</v>
      </c>
      <c r="N7" t="s">
        <v>42</v>
      </c>
      <c r="O7" t="s">
        <v>45</v>
      </c>
      <c r="P7" t="s">
        <v>62</v>
      </c>
      <c r="Q7" t="s">
        <v>65</v>
      </c>
    </row>
    <row r="10" spans="2:17" x14ac:dyDescent="0.35">
      <c r="B10" s="5" t="s">
        <v>47</v>
      </c>
    </row>
    <row r="11" spans="2:17" x14ac:dyDescent="0.35">
      <c r="B11" t="s">
        <v>34</v>
      </c>
      <c r="C11" t="s">
        <v>35</v>
      </c>
      <c r="D11" t="s">
        <v>36</v>
      </c>
      <c r="E11" t="s">
        <v>34</v>
      </c>
    </row>
    <row r="12" spans="2:17" x14ac:dyDescent="0.35">
      <c r="C12" t="s">
        <v>37</v>
      </c>
      <c r="D12" t="s">
        <v>38</v>
      </c>
      <c r="E12">
        <v>1110.5999999999999</v>
      </c>
      <c r="F12">
        <v>-1110.5999999999999</v>
      </c>
    </row>
    <row r="13" spans="2:17" x14ac:dyDescent="0.35">
      <c r="C13" t="s">
        <v>39</v>
      </c>
      <c r="D13" t="s">
        <v>40</v>
      </c>
      <c r="E13">
        <v>-257.3</v>
      </c>
      <c r="F13">
        <v>257.3</v>
      </c>
    </row>
    <row r="14" spans="2:17" x14ac:dyDescent="0.35">
      <c r="C14" t="s">
        <v>41</v>
      </c>
      <c r="D14" t="s">
        <v>42</v>
      </c>
      <c r="E14">
        <v>343.2</v>
      </c>
      <c r="F14">
        <v>-343.2</v>
      </c>
    </row>
    <row r="15" spans="2:17" x14ac:dyDescent="0.35">
      <c r="B15" t="s">
        <v>43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</row>
    <row r="16" spans="2:17" x14ac:dyDescent="0.35">
      <c r="B16" t="s">
        <v>43</v>
      </c>
      <c r="C16" t="s">
        <v>44</v>
      </c>
      <c r="D16" t="s">
        <v>38</v>
      </c>
      <c r="E16" t="s">
        <v>45</v>
      </c>
      <c r="F16" t="s">
        <v>72</v>
      </c>
      <c r="G16" t="s">
        <v>67</v>
      </c>
      <c r="H16" t="s">
        <v>39</v>
      </c>
      <c r="I16" t="s">
        <v>40</v>
      </c>
      <c r="J16" t="s">
        <v>45</v>
      </c>
      <c r="K16" t="s">
        <v>68</v>
      </c>
      <c r="L16" t="s">
        <v>69</v>
      </c>
      <c r="M16" t="s">
        <v>41</v>
      </c>
      <c r="N16" t="s">
        <v>42</v>
      </c>
      <c r="O16" t="s">
        <v>45</v>
      </c>
      <c r="P16" t="s">
        <v>70</v>
      </c>
      <c r="Q16" t="s">
        <v>73</v>
      </c>
    </row>
    <row r="19" spans="2:17" x14ac:dyDescent="0.35">
      <c r="B19" s="5" t="s">
        <v>48</v>
      </c>
    </row>
    <row r="20" spans="2:17" x14ac:dyDescent="0.35">
      <c r="B20" t="s">
        <v>34</v>
      </c>
      <c r="C20" t="s">
        <v>35</v>
      </c>
      <c r="D20" t="s">
        <v>36</v>
      </c>
      <c r="E20" t="s">
        <v>34</v>
      </c>
    </row>
    <row r="21" spans="2:17" x14ac:dyDescent="0.35">
      <c r="C21" t="s">
        <v>37</v>
      </c>
      <c r="D21" t="s">
        <v>38</v>
      </c>
      <c r="E21">
        <v>2712.3</v>
      </c>
      <c r="F21">
        <v>-1770.5</v>
      </c>
    </row>
    <row r="22" spans="2:17" x14ac:dyDescent="0.35">
      <c r="C22" t="s">
        <v>39</v>
      </c>
      <c r="D22" t="s">
        <v>40</v>
      </c>
      <c r="E22">
        <v>402.6</v>
      </c>
      <c r="F22">
        <v>539.20000000000005</v>
      </c>
    </row>
    <row r="23" spans="2:17" x14ac:dyDescent="0.35">
      <c r="C23" t="s">
        <v>41</v>
      </c>
      <c r="D23" t="s">
        <v>42</v>
      </c>
      <c r="E23">
        <v>-1389.2</v>
      </c>
      <c r="F23">
        <v>2331.9</v>
      </c>
    </row>
    <row r="24" spans="2:17" x14ac:dyDescent="0.35">
      <c r="B24" t="s">
        <v>43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</row>
    <row r="25" spans="2:17" x14ac:dyDescent="0.35">
      <c r="B25" t="s">
        <v>43</v>
      </c>
      <c r="C25" t="s">
        <v>44</v>
      </c>
      <c r="D25" t="s">
        <v>38</v>
      </c>
      <c r="E25" t="s">
        <v>45</v>
      </c>
      <c r="F25" t="s">
        <v>88</v>
      </c>
      <c r="G25" t="s">
        <v>83</v>
      </c>
      <c r="H25" t="s">
        <v>39</v>
      </c>
      <c r="I25" t="s">
        <v>40</v>
      </c>
      <c r="J25" t="s">
        <v>45</v>
      </c>
      <c r="K25" t="s">
        <v>84</v>
      </c>
      <c r="L25" t="s">
        <v>85</v>
      </c>
      <c r="M25" t="s">
        <v>41</v>
      </c>
      <c r="N25" t="s">
        <v>42</v>
      </c>
      <c r="O25" t="s">
        <v>45</v>
      </c>
      <c r="P25" t="s">
        <v>86</v>
      </c>
      <c r="Q25" t="s">
        <v>89</v>
      </c>
    </row>
    <row r="28" spans="2:17" x14ac:dyDescent="0.35">
      <c r="B28" s="5" t="s">
        <v>49</v>
      </c>
    </row>
    <row r="29" spans="2:17" x14ac:dyDescent="0.35">
      <c r="B29" t="s">
        <v>34</v>
      </c>
      <c r="C29" t="s">
        <v>35</v>
      </c>
      <c r="D29" t="s">
        <v>36</v>
      </c>
      <c r="E29" t="s">
        <v>34</v>
      </c>
    </row>
    <row r="30" spans="2:17" x14ac:dyDescent="0.35">
      <c r="C30" t="s">
        <v>37</v>
      </c>
      <c r="D30" t="s">
        <v>38</v>
      </c>
      <c r="E30">
        <v>3000</v>
      </c>
      <c r="F30">
        <v>-2402.1999999999998</v>
      </c>
    </row>
    <row r="31" spans="2:17" x14ac:dyDescent="0.35">
      <c r="C31" t="s">
        <v>39</v>
      </c>
      <c r="D31" t="s">
        <v>40</v>
      </c>
      <c r="E31">
        <v>-751</v>
      </c>
      <c r="F31">
        <v>1548.1</v>
      </c>
    </row>
    <row r="32" spans="2:17" x14ac:dyDescent="0.35">
      <c r="C32" t="s">
        <v>41</v>
      </c>
      <c r="D32" t="s">
        <v>42</v>
      </c>
      <c r="E32">
        <v>-947.6</v>
      </c>
      <c r="F32">
        <v>2143.3000000000002</v>
      </c>
    </row>
    <row r="33" spans="2:17" x14ac:dyDescent="0.35">
      <c r="B33" t="s">
        <v>43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</row>
    <row r="34" spans="2:17" x14ac:dyDescent="0.35">
      <c r="B34" t="s">
        <v>43</v>
      </c>
      <c r="C34" t="s">
        <v>44</v>
      </c>
      <c r="D34" t="s">
        <v>38</v>
      </c>
      <c r="E34" t="s">
        <v>45</v>
      </c>
      <c r="F34" t="s">
        <v>80</v>
      </c>
      <c r="G34" t="s">
        <v>75</v>
      </c>
      <c r="H34" t="s">
        <v>39</v>
      </c>
      <c r="I34" t="s">
        <v>40</v>
      </c>
      <c r="J34" t="s">
        <v>45</v>
      </c>
      <c r="K34" t="s">
        <v>76</v>
      </c>
      <c r="L34" t="s">
        <v>77</v>
      </c>
      <c r="M34" t="s">
        <v>41</v>
      </c>
      <c r="N34" t="s">
        <v>42</v>
      </c>
      <c r="O34" t="s">
        <v>45</v>
      </c>
      <c r="P34" t="s">
        <v>78</v>
      </c>
      <c r="Q3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locational_const</vt:lpstr>
      <vt:lpstr>nodal allocation</vt:lpstr>
      <vt:lpstr>ATC_box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Kamaldeen Adekola</dc:creator>
  <cp:lastModifiedBy>Kamaldeen Adekola</cp:lastModifiedBy>
  <dcterms:created xsi:type="dcterms:W3CDTF">2015-06-05T18:17:20Z</dcterms:created>
  <dcterms:modified xsi:type="dcterms:W3CDTF">2025-11-10T16:58:17Z</dcterms:modified>
</cp:coreProperties>
</file>