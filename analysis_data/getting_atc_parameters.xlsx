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kadekola\github_codes\cross_border-CM\analysis_data\"/>
    </mc:Choice>
  </mc:AlternateContent>
  <xr:revisionPtr revIDLastSave="0" documentId="13_ncr:1_{365BF863-3ED3-491D-A785-E2F5E36FD94F}" xr6:coauthVersionLast="47" xr6:coauthVersionMax="47" xr10:uidLastSave="{00000000-0000-0000-0000-000000000000}"/>
  <bookViews>
    <workbookView xWindow="-38510" yWindow="1700" windowWidth="19420" windowHeight="11500" activeTab="1" xr2:uid="{00000000-000D-0000-FFFF-FFFF00000000}"/>
  </bookViews>
  <sheets>
    <sheet name="locational_const" sheetId="2" r:id="rId1"/>
    <sheet name="nodal allocation" sheetId="3" r:id="rId2"/>
    <sheet name="ATC_box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6" i="3" l="1"/>
  <c r="P26" i="3"/>
  <c r="G26" i="3"/>
  <c r="O19" i="3"/>
  <c r="M17" i="3"/>
  <c r="M18" i="3"/>
  <c r="M19" i="3"/>
  <c r="M22" i="3"/>
  <c r="M23" i="3"/>
  <c r="M24" i="3"/>
  <c r="M25" i="3"/>
  <c r="M16" i="3"/>
  <c r="F10" i="3"/>
  <c r="F13" i="3"/>
  <c r="F12" i="3"/>
  <c r="F11" i="3"/>
  <c r="D8" i="3"/>
  <c r="F7" i="3"/>
  <c r="F6" i="3"/>
  <c r="F5" i="3"/>
  <c r="F4" i="3"/>
  <c r="F33" i="3"/>
  <c r="D33" i="3"/>
  <c r="D39" i="3"/>
  <c r="F39" i="3"/>
  <c r="D20" i="3"/>
  <c r="D26" i="3"/>
  <c r="F26" i="3"/>
  <c r="D14" i="3"/>
  <c r="F20" i="3"/>
  <c r="F14" i="3" l="1"/>
  <c r="F8" i="3"/>
</calcChain>
</file>

<file path=xl/sharedStrings.xml><?xml version="1.0" encoding="utf-8"?>
<sst xmlns="http://schemas.openxmlformats.org/spreadsheetml/2006/main" count="283" uniqueCount="80">
  <si>
    <t>locational signal</t>
  </si>
  <si>
    <t>Technology</t>
  </si>
  <si>
    <t>EOM</t>
  </si>
  <si>
    <t>price cap</t>
  </si>
  <si>
    <t>NoCBP</t>
  </si>
  <si>
    <t>Implicit</t>
  </si>
  <si>
    <t>NTC</t>
  </si>
  <si>
    <t>FBMC</t>
  </si>
  <si>
    <t>─────┼───────────────────────────</t>
  </si>
  <si>
    <t>─────┼───────────────────────────────</t>
  </si>
  <si>
    <t>simultaneous scarcity</t>
  </si>
  <si>
    <t>scarcity at A</t>
  </si>
  <si>
    <t>scarcity at B</t>
  </si>
  <si>
    <t>scarcity at C</t>
  </si>
  <si>
    <t>Y_Nodal split</t>
  </si>
  <si>
    <t>MCP</t>
  </si>
  <si>
    <t>Planner</t>
  </si>
  <si>
    <t>n1</t>
  </si>
  <si>
    <t>n2</t>
  </si>
  <si>
    <t>n3</t>
  </si>
  <si>
    <t>n4</t>
  </si>
  <si>
    <t>And data, a 5×4 Matrix{Float64}:</t>
  </si>
  <si>
    <t>Price cap</t>
  </si>
  <si>
    <t>No CBP</t>
  </si>
  <si>
    <t>Demand during scarcity</t>
  </si>
  <si>
    <t>DataFrame</t>
  </si>
  <si>
    <t>Row</t>
  </si>
  <si>
    <t>│</t>
  </si>
  <si>
    <t>x1</t>
  </si>
  <si>
    <t>x2</t>
  </si>
  <si>
    <t>x3</t>
  </si>
  <si>
    <t>Float64</t>
  </si>
  <si>
    <t>===</t>
  </si>
  <si>
    <t>ATC-EP</t>
  </si>
  <si>
    <t>results</t>
  </si>
  <si>
    <t>(:A,</t>
  </si>
  <si>
    <t>:C)</t>
  </si>
  <si>
    <t>(:C,</t>
  </si>
  <si>
    <t>:B)</t>
  </si>
  <si>
    <t>(:B,</t>
  </si>
  <si>
    <t>:A)</t>
  </si>
  <si>
    <t>ATC:</t>
  </si>
  <si>
    <t>[(2011.9740924491018,</t>
  </si>
  <si>
    <t>-1236.7105009942327),</t>
  </si>
  <si>
    <t>(1221.2694990057487,</t>
  </si>
  <si>
    <t>-1996.648685892471),</t>
  </si>
  <si>
    <t>(363.91868589247133,</t>
  </si>
  <si>
    <t>-1139.5909075508825)]</t>
  </si>
  <si>
    <t>Dict((:A,</t>
  </si>
  <si>
    <t>=&gt;</t>
  </si>
  <si>
    <t>(2011.9740924491018,</t>
  </si>
  <si>
    <t>-1139.5909075508825))</t>
  </si>
  <si>
    <t>Simultaneous scarcity</t>
  </si>
  <si>
    <t>Scarcity at A</t>
  </si>
  <si>
    <t>[(989.8932684992363,</t>
  </si>
  <si>
    <t>-504.528291665285),</t>
  </si>
  <si>
    <t>(1150.05172806395,</t>
  </si>
  <si>
    <t>-1635.4048089345201),</t>
  </si>
  <si>
    <t>(650.0251910654783,</t>
  </si>
  <si>
    <t>-164.67825863461846)]</t>
  </si>
  <si>
    <t>(989.8932684992363,</t>
  </si>
  <si>
    <t>-164.67825863461846))</t>
  </si>
  <si>
    <t>Scarcity at B</t>
  </si>
  <si>
    <t>[(2136.663670745699,</t>
  </si>
  <si>
    <t>-1255.60100480321),</t>
  </si>
  <si>
    <t>(398.97899519677725,</t>
  </si>
  <si>
    <t>-1456.7183322728788),</t>
  </si>
  <si>
    <t>(476.6883462946189,</t>
  </si>
  <si>
    <t>-1798.8826725303256)]</t>
  </si>
  <si>
    <t>(2136.663670745699,</t>
  </si>
  <si>
    <t>-1798.8826725303256))</t>
  </si>
  <si>
    <t>Scarcity at C</t>
  </si>
  <si>
    <t>[(2528.9409161241756,</t>
  </si>
  <si>
    <t>-1753.7153152159585),</t>
  </si>
  <si>
    <t>(1507.6646847840316,</t>
  </si>
  <si>
    <t>-2437.9871484908886),</t>
  </si>
  <si>
    <t>(152.55714849089054,</t>
  </si>
  <si>
    <t>-1315.7281667250718)]</t>
  </si>
  <si>
    <t>(2528.9409161241756,</t>
  </si>
  <si>
    <t>-1315.7281667250718))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</si>
</sst>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7"/>
      <color rgb="FFE373CE"/>
      <name val="Consolas"/>
      <family val="3"/>
    </font>
    <font>
      <i/>
      <sz val="7"/>
      <color rgb="FF5C637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0" xfId="0" applyFont="1"/>
    <xf numFmtId="0" fontId="3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AF565-2E3F-4051-AE1C-1CCB946DA0D6}">
  <dimension ref="A1:G64"/>
  <sheetViews>
    <sheetView topLeftCell="A35" workbookViewId="0">
      <selection activeCell="J45" sqref="J45"/>
    </sheetView>
  </sheetViews>
  <sheetFormatPr defaultRowHeight="14.5" x14ac:dyDescent="0.35"/>
  <cols>
    <col min="1" max="1" width="14" customWidth="1"/>
  </cols>
  <sheetData>
    <row r="1" spans="1:7" x14ac:dyDescent="0.35">
      <c r="B1" t="s">
        <v>0</v>
      </c>
    </row>
    <row r="2" spans="1:7" x14ac:dyDescent="0.35">
      <c r="A2" t="s">
        <v>2</v>
      </c>
    </row>
    <row r="3" spans="1:7" x14ac:dyDescent="0.35">
      <c r="C3" t="s">
        <v>26</v>
      </c>
      <c r="D3" t="s">
        <v>27</v>
      </c>
      <c r="E3" t="s">
        <v>28</v>
      </c>
      <c r="F3" t="s">
        <v>29</v>
      </c>
      <c r="G3" t="s">
        <v>30</v>
      </c>
    </row>
    <row r="4" spans="1:7" x14ac:dyDescent="0.35">
      <c r="C4" t="s">
        <v>27</v>
      </c>
      <c r="D4" t="s">
        <v>31</v>
      </c>
      <c r="E4" t="s">
        <v>31</v>
      </c>
      <c r="F4" t="s">
        <v>31</v>
      </c>
    </row>
    <row r="5" spans="1:7" x14ac:dyDescent="0.35">
      <c r="B5" t="s">
        <v>9</v>
      </c>
    </row>
    <row r="6" spans="1:7" x14ac:dyDescent="0.35">
      <c r="A6" s="1" t="s">
        <v>1</v>
      </c>
      <c r="C6">
        <v>1</v>
      </c>
      <c r="D6" t="s">
        <v>27</v>
      </c>
      <c r="E6">
        <v>40053.5</v>
      </c>
      <c r="F6">
        <v>50135.1</v>
      </c>
      <c r="G6">
        <v>61008.9</v>
      </c>
    </row>
    <row r="7" spans="1:7" x14ac:dyDescent="0.35">
      <c r="A7" s="1"/>
      <c r="C7">
        <v>2</v>
      </c>
      <c r="D7" t="s">
        <v>27</v>
      </c>
      <c r="E7">
        <v>40053.5</v>
      </c>
      <c r="F7">
        <v>50135.1</v>
      </c>
      <c r="G7">
        <v>61008.9</v>
      </c>
    </row>
    <row r="8" spans="1:7" x14ac:dyDescent="0.35">
      <c r="A8" s="1"/>
      <c r="C8">
        <v>3</v>
      </c>
      <c r="D8" t="s">
        <v>27</v>
      </c>
      <c r="E8">
        <v>1993.53</v>
      </c>
      <c r="F8">
        <v>341.29500000000002</v>
      </c>
      <c r="G8">
        <v>1831.2</v>
      </c>
    </row>
    <row r="9" spans="1:7" x14ac:dyDescent="0.35">
      <c r="A9" s="1"/>
      <c r="C9">
        <v>4</v>
      </c>
      <c r="D9" t="s">
        <v>27</v>
      </c>
      <c r="E9">
        <v>40053.5</v>
      </c>
      <c r="F9">
        <v>50135.1</v>
      </c>
      <c r="G9">
        <v>61008.9</v>
      </c>
    </row>
    <row r="10" spans="1:7" x14ac:dyDescent="0.35">
      <c r="C10">
        <v>5</v>
      </c>
      <c r="D10" t="s">
        <v>27</v>
      </c>
      <c r="E10">
        <v>8939.5</v>
      </c>
      <c r="F10">
        <v>6467.8</v>
      </c>
      <c r="G10">
        <v>4998.57</v>
      </c>
    </row>
    <row r="12" spans="1:7" x14ac:dyDescent="0.35">
      <c r="A12" t="s">
        <v>3</v>
      </c>
    </row>
    <row r="13" spans="1:7" x14ac:dyDescent="0.35">
      <c r="C13" t="s">
        <v>26</v>
      </c>
      <c r="D13" t="s">
        <v>27</v>
      </c>
      <c r="E13" t="s">
        <v>28</v>
      </c>
      <c r="F13" t="s">
        <v>29</v>
      </c>
      <c r="G13" t="s">
        <v>30</v>
      </c>
    </row>
    <row r="14" spans="1:7" x14ac:dyDescent="0.35">
      <c r="C14" t="s">
        <v>27</v>
      </c>
      <c r="D14" t="s">
        <v>31</v>
      </c>
      <c r="E14" t="s">
        <v>31</v>
      </c>
      <c r="F14" t="s">
        <v>31</v>
      </c>
    </row>
    <row r="15" spans="1:7" x14ac:dyDescent="0.35">
      <c r="B15" t="s">
        <v>9</v>
      </c>
    </row>
    <row r="16" spans="1:7" x14ac:dyDescent="0.35">
      <c r="C16">
        <v>1</v>
      </c>
      <c r="D16" t="s">
        <v>27</v>
      </c>
      <c r="E16">
        <v>47131.9</v>
      </c>
      <c r="F16">
        <v>62913.9</v>
      </c>
      <c r="G16">
        <v>73354.100000000006</v>
      </c>
    </row>
    <row r="17" spans="1:7" x14ac:dyDescent="0.35">
      <c r="C17">
        <v>2</v>
      </c>
      <c r="D17" t="s">
        <v>27</v>
      </c>
      <c r="E17">
        <v>47131.9</v>
      </c>
      <c r="F17">
        <v>62913.9</v>
      </c>
      <c r="G17">
        <v>73354.100000000006</v>
      </c>
    </row>
    <row r="18" spans="1:7" x14ac:dyDescent="0.35">
      <c r="C18">
        <v>3</v>
      </c>
      <c r="D18" t="s">
        <v>27</v>
      </c>
      <c r="E18">
        <v>1266.8800000000001</v>
      </c>
      <c r="F18">
        <v>472.83100000000002</v>
      </c>
      <c r="G18">
        <v>1003.57</v>
      </c>
    </row>
    <row r="19" spans="1:7" x14ac:dyDescent="0.35">
      <c r="C19">
        <v>4</v>
      </c>
      <c r="D19" t="s">
        <v>27</v>
      </c>
      <c r="E19">
        <v>47131.9</v>
      </c>
      <c r="F19">
        <v>62913.9</v>
      </c>
      <c r="G19">
        <v>73354.100000000006</v>
      </c>
    </row>
    <row r="20" spans="1:7" x14ac:dyDescent="0.35">
      <c r="C20">
        <v>5</v>
      </c>
      <c r="D20" t="s">
        <v>27</v>
      </c>
      <c r="E20">
        <v>11581.1</v>
      </c>
      <c r="F20">
        <v>8574.27</v>
      </c>
      <c r="G20">
        <v>3641.93</v>
      </c>
    </row>
    <row r="22" spans="1:7" x14ac:dyDescent="0.35">
      <c r="A22" t="s">
        <v>4</v>
      </c>
    </row>
    <row r="23" spans="1:7" x14ac:dyDescent="0.35">
      <c r="C23" t="s">
        <v>26</v>
      </c>
      <c r="D23" t="s">
        <v>27</v>
      </c>
      <c r="E23" t="s">
        <v>28</v>
      </c>
      <c r="F23" t="s">
        <v>29</v>
      </c>
      <c r="G23" t="s">
        <v>30</v>
      </c>
    </row>
    <row r="24" spans="1:7" x14ac:dyDescent="0.35">
      <c r="C24" t="s">
        <v>27</v>
      </c>
      <c r="D24" t="s">
        <v>31</v>
      </c>
      <c r="E24" t="s">
        <v>31</v>
      </c>
      <c r="F24" t="s">
        <v>31</v>
      </c>
    </row>
    <row r="25" spans="1:7" x14ac:dyDescent="0.35">
      <c r="B25" t="s">
        <v>8</v>
      </c>
    </row>
    <row r="26" spans="1:7" x14ac:dyDescent="0.35">
      <c r="C26">
        <v>1</v>
      </c>
      <c r="D26" t="s">
        <v>27</v>
      </c>
      <c r="E26">
        <v>60000</v>
      </c>
      <c r="F26">
        <v>67591.3</v>
      </c>
      <c r="G26">
        <v>80000</v>
      </c>
    </row>
    <row r="27" spans="1:7" x14ac:dyDescent="0.35">
      <c r="C27">
        <v>2</v>
      </c>
      <c r="D27" t="s">
        <v>27</v>
      </c>
      <c r="E27">
        <v>60000</v>
      </c>
      <c r="F27">
        <v>67591.3</v>
      </c>
      <c r="G27">
        <v>80000</v>
      </c>
    </row>
    <row r="28" spans="1:7" x14ac:dyDescent="0.35">
      <c r="C28">
        <v>3</v>
      </c>
      <c r="D28" t="s">
        <v>27</v>
      </c>
      <c r="E28">
        <v>60000</v>
      </c>
      <c r="F28">
        <v>66181.3</v>
      </c>
      <c r="G28">
        <v>78683</v>
      </c>
    </row>
    <row r="29" spans="1:7" x14ac:dyDescent="0.35">
      <c r="C29">
        <v>4</v>
      </c>
      <c r="D29" t="s">
        <v>27</v>
      </c>
      <c r="E29">
        <v>60000</v>
      </c>
      <c r="F29">
        <v>67591.3</v>
      </c>
      <c r="G29">
        <v>80000</v>
      </c>
    </row>
    <row r="30" spans="1:7" x14ac:dyDescent="0.35">
      <c r="C30">
        <v>5</v>
      </c>
      <c r="D30" t="s">
        <v>27</v>
      </c>
      <c r="E30">
        <v>60000</v>
      </c>
      <c r="F30">
        <v>66436.100000000006</v>
      </c>
      <c r="G30">
        <v>78857.600000000006</v>
      </c>
    </row>
    <row r="33" spans="1:7" x14ac:dyDescent="0.35">
      <c r="A33" t="s">
        <v>5</v>
      </c>
    </row>
    <row r="34" spans="1:7" x14ac:dyDescent="0.35">
      <c r="C34" t="s">
        <v>26</v>
      </c>
      <c r="D34" t="s">
        <v>27</v>
      </c>
      <c r="E34" t="s">
        <v>28</v>
      </c>
      <c r="F34" t="s">
        <v>29</v>
      </c>
      <c r="G34" t="s">
        <v>30</v>
      </c>
    </row>
    <row r="35" spans="1:7" x14ac:dyDescent="0.35">
      <c r="C35" t="s">
        <v>27</v>
      </c>
      <c r="D35" t="s">
        <v>31</v>
      </c>
      <c r="E35" t="s">
        <v>31</v>
      </c>
      <c r="F35" t="s">
        <v>31</v>
      </c>
    </row>
    <row r="36" spans="1:7" x14ac:dyDescent="0.35">
      <c r="B36" t="s">
        <v>8</v>
      </c>
    </row>
    <row r="37" spans="1:7" x14ac:dyDescent="0.35">
      <c r="C37">
        <v>1</v>
      </c>
      <c r="D37" t="s">
        <v>27</v>
      </c>
      <c r="E37">
        <v>59476.4</v>
      </c>
      <c r="F37">
        <v>67393.2</v>
      </c>
      <c r="G37">
        <v>77466.5</v>
      </c>
    </row>
    <row r="38" spans="1:7" x14ac:dyDescent="0.35">
      <c r="C38">
        <v>2</v>
      </c>
      <c r="D38" t="s">
        <v>27</v>
      </c>
      <c r="E38">
        <v>59476.4</v>
      </c>
      <c r="F38">
        <v>67393.2</v>
      </c>
      <c r="G38">
        <v>77466.5</v>
      </c>
    </row>
    <row r="39" spans="1:7" x14ac:dyDescent="0.35">
      <c r="C39">
        <v>3</v>
      </c>
      <c r="D39" t="s">
        <v>27</v>
      </c>
      <c r="E39">
        <v>56393.2</v>
      </c>
      <c r="F39">
        <v>37258.1</v>
      </c>
      <c r="G39">
        <v>19618.8</v>
      </c>
    </row>
    <row r="40" spans="1:7" x14ac:dyDescent="0.35">
      <c r="C40">
        <v>4</v>
      </c>
      <c r="D40" t="s">
        <v>27</v>
      </c>
      <c r="E40">
        <v>59476.4</v>
      </c>
      <c r="F40">
        <v>67393.2</v>
      </c>
      <c r="G40">
        <v>77466.5</v>
      </c>
    </row>
    <row r="41" spans="1:7" x14ac:dyDescent="0.35">
      <c r="C41">
        <v>5</v>
      </c>
      <c r="D41" t="s">
        <v>27</v>
      </c>
      <c r="E41">
        <v>57168.1</v>
      </c>
      <c r="F41">
        <v>41034.5</v>
      </c>
      <c r="G41">
        <v>21689.1</v>
      </c>
    </row>
    <row r="43" spans="1:7" x14ac:dyDescent="0.35">
      <c r="A43" t="s">
        <v>6</v>
      </c>
    </row>
    <row r="44" spans="1:7" x14ac:dyDescent="0.35">
      <c r="A44" t="s">
        <v>25</v>
      </c>
    </row>
    <row r="45" spans="1:7" x14ac:dyDescent="0.35">
      <c r="C45" t="s">
        <v>26</v>
      </c>
      <c r="D45" t="s">
        <v>27</v>
      </c>
      <c r="E45" t="s">
        <v>28</v>
      </c>
      <c r="F45" t="s">
        <v>29</v>
      </c>
      <c r="G45" t="s">
        <v>30</v>
      </c>
    </row>
    <row r="46" spans="1:7" x14ac:dyDescent="0.35">
      <c r="C46" t="s">
        <v>27</v>
      </c>
      <c r="D46" t="s">
        <v>31</v>
      </c>
      <c r="E46" t="s">
        <v>31</v>
      </c>
      <c r="F46" t="s">
        <v>31</v>
      </c>
    </row>
    <row r="47" spans="1:7" x14ac:dyDescent="0.35">
      <c r="A47" t="s">
        <v>8</v>
      </c>
    </row>
    <row r="48" spans="1:7" x14ac:dyDescent="0.35">
      <c r="C48">
        <v>1</v>
      </c>
      <c r="D48" t="s">
        <v>27</v>
      </c>
      <c r="E48">
        <v>60000</v>
      </c>
      <c r="F48">
        <v>67499.100000000006</v>
      </c>
      <c r="G48">
        <v>77558.5</v>
      </c>
    </row>
    <row r="49" spans="1:7" x14ac:dyDescent="0.35">
      <c r="C49">
        <v>2</v>
      </c>
      <c r="D49" t="s">
        <v>27</v>
      </c>
      <c r="E49">
        <v>60000</v>
      </c>
      <c r="F49">
        <v>67499.100000000006</v>
      </c>
      <c r="G49">
        <v>77558.5</v>
      </c>
    </row>
    <row r="50" spans="1:7" x14ac:dyDescent="0.35">
      <c r="C50">
        <v>3</v>
      </c>
      <c r="D50" t="s">
        <v>27</v>
      </c>
      <c r="E50">
        <v>60000</v>
      </c>
      <c r="F50">
        <v>60051.4</v>
      </c>
      <c r="G50">
        <v>60796.6</v>
      </c>
    </row>
    <row r="51" spans="1:7" x14ac:dyDescent="0.35">
      <c r="C51">
        <v>4</v>
      </c>
      <c r="D51" t="s">
        <v>27</v>
      </c>
      <c r="E51">
        <v>60000</v>
      </c>
      <c r="F51">
        <v>67499.100000000006</v>
      </c>
      <c r="G51">
        <v>77558.5</v>
      </c>
    </row>
    <row r="52" spans="1:7" x14ac:dyDescent="0.35">
      <c r="C52">
        <v>5</v>
      </c>
      <c r="D52" t="s">
        <v>27</v>
      </c>
      <c r="E52">
        <v>60000</v>
      </c>
      <c r="F52">
        <v>61055.9</v>
      </c>
      <c r="G52">
        <v>61363.1</v>
      </c>
    </row>
    <row r="54" spans="1:7" x14ac:dyDescent="0.35">
      <c r="A54" s="5" t="s">
        <v>7</v>
      </c>
    </row>
    <row r="56" spans="1:7" x14ac:dyDescent="0.35">
      <c r="C56" t="s">
        <v>25</v>
      </c>
    </row>
    <row r="57" spans="1:7" x14ac:dyDescent="0.35">
      <c r="C57" t="s">
        <v>26</v>
      </c>
      <c r="D57" t="s">
        <v>27</v>
      </c>
      <c r="E57" t="s">
        <v>28</v>
      </c>
      <c r="F57" t="s">
        <v>29</v>
      </c>
      <c r="G57" t="s">
        <v>30</v>
      </c>
    </row>
    <row r="58" spans="1:7" x14ac:dyDescent="0.35">
      <c r="C58" t="s">
        <v>27</v>
      </c>
      <c r="D58" t="s">
        <v>31</v>
      </c>
      <c r="E58" t="s">
        <v>31</v>
      </c>
      <c r="F58" t="s">
        <v>31</v>
      </c>
    </row>
    <row r="60" spans="1:7" x14ac:dyDescent="0.35">
      <c r="C60">
        <v>1</v>
      </c>
      <c r="D60" t="s">
        <v>27</v>
      </c>
      <c r="E60">
        <v>80000</v>
      </c>
      <c r="F60">
        <v>69871.7</v>
      </c>
      <c r="G60">
        <v>60000</v>
      </c>
    </row>
    <row r="61" spans="1:7" x14ac:dyDescent="0.35">
      <c r="C61">
        <v>2</v>
      </c>
      <c r="D61" t="s">
        <v>27</v>
      </c>
      <c r="E61">
        <v>80000</v>
      </c>
      <c r="F61">
        <v>69871.7</v>
      </c>
      <c r="G61">
        <v>60000</v>
      </c>
    </row>
    <row r="62" spans="1:7" x14ac:dyDescent="0.35">
      <c r="C62">
        <v>3</v>
      </c>
      <c r="D62" t="s">
        <v>27</v>
      </c>
      <c r="E62">
        <v>79965.100000000006</v>
      </c>
      <c r="F62">
        <v>66668</v>
      </c>
      <c r="G62">
        <v>60000</v>
      </c>
    </row>
    <row r="63" spans="1:7" x14ac:dyDescent="0.35">
      <c r="C63">
        <v>4</v>
      </c>
      <c r="D63" t="s">
        <v>27</v>
      </c>
      <c r="E63">
        <v>80000</v>
      </c>
      <c r="F63">
        <v>69871.7</v>
      </c>
      <c r="G63">
        <v>60000</v>
      </c>
    </row>
    <row r="64" spans="1:7" x14ac:dyDescent="0.35">
      <c r="C64">
        <v>5</v>
      </c>
      <c r="D64" t="s">
        <v>27</v>
      </c>
      <c r="E64">
        <v>79971.8</v>
      </c>
      <c r="F64">
        <v>66959.399999999994</v>
      </c>
      <c r="G64">
        <v>60000</v>
      </c>
    </row>
  </sheetData>
  <mergeCells count="1">
    <mergeCell ref="A6:A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8A093-846C-4F3B-8C78-08E6801904D8}">
  <dimension ref="A1:P39"/>
  <sheetViews>
    <sheetView tabSelected="1" topLeftCell="A13" workbookViewId="0">
      <selection activeCell="P21" sqref="P21"/>
    </sheetView>
  </sheetViews>
  <sheetFormatPr defaultRowHeight="14.5" x14ac:dyDescent="0.35"/>
  <cols>
    <col min="2" max="2" width="5.1796875" customWidth="1"/>
    <col min="3" max="3" width="3.1796875" customWidth="1"/>
    <col min="4" max="4" width="17.90625" customWidth="1"/>
    <col min="5" max="5" width="3.90625" customWidth="1"/>
    <col min="6" max="6" width="13" customWidth="1"/>
    <col min="8" max="8" width="14.7265625" customWidth="1"/>
    <col min="12" max="12" width="10.6328125" customWidth="1"/>
    <col min="17" max="17" width="9.81640625" bestFit="1" customWidth="1"/>
  </cols>
  <sheetData>
    <row r="1" spans="1:13" x14ac:dyDescent="0.35">
      <c r="A1" s="2" t="s">
        <v>14</v>
      </c>
      <c r="B1" s="2"/>
      <c r="C1" s="2"/>
      <c r="D1" s="2"/>
      <c r="E1" s="2"/>
      <c r="F1" s="2"/>
    </row>
    <row r="2" spans="1:13" x14ac:dyDescent="0.35">
      <c r="A2" s="7" t="s">
        <v>2</v>
      </c>
      <c r="H2" t="s">
        <v>21</v>
      </c>
    </row>
    <row r="3" spans="1:13" x14ac:dyDescent="0.35">
      <c r="A3" s="7"/>
      <c r="B3" s="3"/>
      <c r="C3" s="3"/>
      <c r="D3" t="s">
        <v>15</v>
      </c>
      <c r="F3" t="s">
        <v>16</v>
      </c>
      <c r="H3">
        <v>21189.5348933694</v>
      </c>
      <c r="I3">
        <v>5731.5403867180603</v>
      </c>
      <c r="J3">
        <v>7876.4533245359198</v>
      </c>
      <c r="K3">
        <v>10232.0526608256</v>
      </c>
    </row>
    <row r="4" spans="1:13" x14ac:dyDescent="0.35">
      <c r="A4" s="7"/>
      <c r="B4" s="3" t="s">
        <v>17</v>
      </c>
      <c r="C4" s="3"/>
      <c r="D4">
        <v>32424.3489741062</v>
      </c>
      <c r="F4">
        <f>SUM(H3:H7)</f>
        <v>32839.447757407404</v>
      </c>
      <c r="H4">
        <v>4886.0618148282001</v>
      </c>
      <c r="I4">
        <v>2946.3215454373699</v>
      </c>
      <c r="J4">
        <v>1100.7902057511401</v>
      </c>
      <c r="K4">
        <v>2034.8589838826199</v>
      </c>
    </row>
    <row r="5" spans="1:13" x14ac:dyDescent="0.35">
      <c r="A5" s="7"/>
      <c r="B5" s="3" t="s">
        <v>18</v>
      </c>
      <c r="C5" s="3"/>
      <c r="D5">
        <v>13843.7723412952</v>
      </c>
      <c r="F5">
        <f>SUM(I3:I7)</f>
        <v>12254.83200458403</v>
      </c>
      <c r="H5">
        <v>0</v>
      </c>
      <c r="I5">
        <v>0</v>
      </c>
      <c r="J5">
        <v>0</v>
      </c>
      <c r="K5">
        <v>0</v>
      </c>
    </row>
    <row r="6" spans="1:13" x14ac:dyDescent="0.35">
      <c r="A6" s="7"/>
      <c r="B6" s="3" t="s">
        <v>19</v>
      </c>
      <c r="C6" s="3"/>
      <c r="D6">
        <v>10538.3592852661</v>
      </c>
      <c r="F6">
        <f>SUM(J3:J7)</f>
        <v>10215.244239412259</v>
      </c>
      <c r="H6">
        <v>6763.8510492098003</v>
      </c>
      <c r="I6">
        <v>3576.9700724285999</v>
      </c>
      <c r="J6">
        <v>1238.0007091252</v>
      </c>
      <c r="K6">
        <v>1914.8076302832601</v>
      </c>
    </row>
    <row r="7" spans="1:13" x14ac:dyDescent="0.35">
      <c r="A7" s="7"/>
      <c r="B7" s="3" t="s">
        <v>20</v>
      </c>
      <c r="C7" s="3"/>
      <c r="D7">
        <v>11790.2868971441</v>
      </c>
      <c r="F7">
        <f>SUM(K3:K7)</f>
        <v>14181.719274991479</v>
      </c>
      <c r="H7">
        <v>0</v>
      </c>
      <c r="I7">
        <v>0</v>
      </c>
      <c r="J7">
        <v>0</v>
      </c>
      <c r="K7">
        <v>0</v>
      </c>
    </row>
    <row r="8" spans="1:13" x14ac:dyDescent="0.35">
      <c r="A8" s="8"/>
      <c r="B8" s="3"/>
      <c r="C8" s="3"/>
      <c r="D8" s="5">
        <f>SUM(D4:D7)</f>
        <v>68596.767497811597</v>
      </c>
      <c r="E8" s="5"/>
      <c r="F8" s="5">
        <f>SUM(F4:F7)</f>
        <v>69491.24327639518</v>
      </c>
    </row>
    <row r="9" spans="1:13" x14ac:dyDescent="0.35">
      <c r="A9" s="7" t="s">
        <v>22</v>
      </c>
      <c r="B9" s="3"/>
      <c r="C9" s="3"/>
      <c r="H9" t="s">
        <v>21</v>
      </c>
    </row>
    <row r="10" spans="1:13" x14ac:dyDescent="0.35">
      <c r="A10" s="7"/>
      <c r="B10" s="3" t="s">
        <v>17</v>
      </c>
      <c r="C10" s="3"/>
      <c r="D10">
        <v>24341.2826266599</v>
      </c>
      <c r="F10">
        <f>SUM(H10:H14)</f>
        <v>24121.504448781809</v>
      </c>
      <c r="H10">
        <v>19560.589943229199</v>
      </c>
      <c r="I10">
        <v>5703.7443581151801</v>
      </c>
      <c r="J10">
        <v>8903.0366884744599</v>
      </c>
      <c r="K10">
        <v>10177.643294380199</v>
      </c>
    </row>
    <row r="11" spans="1:13" x14ac:dyDescent="0.35">
      <c r="A11" s="7"/>
      <c r="B11" s="3" t="s">
        <v>18</v>
      </c>
      <c r="C11" s="3"/>
      <c r="D11">
        <v>9315.4865216555609</v>
      </c>
      <c r="F11">
        <f>SUM(I10:I14)</f>
        <v>8798.8037135767481</v>
      </c>
      <c r="H11">
        <v>3817.3983150394602</v>
      </c>
      <c r="I11">
        <v>2455.4452745763701</v>
      </c>
      <c r="J11">
        <v>2280.7515833161401</v>
      </c>
      <c r="K11">
        <v>2348.6961651909801</v>
      </c>
    </row>
    <row r="12" spans="1:13" x14ac:dyDescent="0.35">
      <c r="A12" s="7"/>
      <c r="B12" s="3" t="s">
        <v>19</v>
      </c>
      <c r="C12" s="3"/>
      <c r="D12">
        <v>13876.531717096899</v>
      </c>
      <c r="F12">
        <f>SUM(J10:J14)</f>
        <v>12913.56286070944</v>
      </c>
      <c r="H12">
        <v>0</v>
      </c>
      <c r="I12">
        <v>0</v>
      </c>
      <c r="J12">
        <v>0</v>
      </c>
      <c r="K12">
        <v>0</v>
      </c>
    </row>
    <row r="13" spans="1:13" x14ac:dyDescent="0.35">
      <c r="A13" s="7"/>
      <c r="B13" s="3" t="s">
        <v>20</v>
      </c>
      <c r="C13" s="3"/>
      <c r="D13">
        <v>12994.9074500958</v>
      </c>
      <c r="F13">
        <f>SUM(K10:K14)</f>
        <v>14700.089444367379</v>
      </c>
      <c r="H13">
        <v>743.51619051315095</v>
      </c>
      <c r="I13">
        <v>639.61408088519795</v>
      </c>
      <c r="J13">
        <v>1729.77458891884</v>
      </c>
      <c r="K13">
        <v>2173.7499847961999</v>
      </c>
    </row>
    <row r="14" spans="1:13" x14ac:dyDescent="0.35">
      <c r="A14" s="7"/>
      <c r="D14" s="5">
        <f>SUM(D10:D13)</f>
        <v>60528.208315508164</v>
      </c>
      <c r="E14" s="5"/>
      <c r="F14" s="5">
        <f>SUM(F10:F13)</f>
        <v>60533.960467435376</v>
      </c>
      <c r="H14">
        <v>0</v>
      </c>
      <c r="I14">
        <v>0</v>
      </c>
      <c r="J14">
        <v>0</v>
      </c>
      <c r="K14">
        <v>0</v>
      </c>
    </row>
    <row r="15" spans="1:13" x14ac:dyDescent="0.35">
      <c r="A15" s="7" t="s">
        <v>23</v>
      </c>
      <c r="H15" t="s">
        <v>24</v>
      </c>
      <c r="I15" s="5" t="s">
        <v>17</v>
      </c>
      <c r="J15" s="5" t="s">
        <v>18</v>
      </c>
      <c r="K15" s="5" t="s">
        <v>19</v>
      </c>
      <c r="L15" s="5" t="s">
        <v>20</v>
      </c>
    </row>
    <row r="16" spans="1:13" x14ac:dyDescent="0.35">
      <c r="A16" s="7"/>
      <c r="B16" s="3" t="s">
        <v>17</v>
      </c>
      <c r="C16" s="3"/>
      <c r="D16">
        <v>45101.478732900403</v>
      </c>
      <c r="F16">
        <v>43980.3</v>
      </c>
      <c r="H16" s="5" t="s">
        <v>10</v>
      </c>
      <c r="I16">
        <v>42512.7</v>
      </c>
      <c r="J16">
        <v>18219.7</v>
      </c>
      <c r="K16">
        <v>12401.9</v>
      </c>
      <c r="L16">
        <v>15264.8</v>
      </c>
      <c r="M16">
        <f>SUM(I16:L16)</f>
        <v>88399.099999999991</v>
      </c>
    </row>
    <row r="17" spans="1:16" x14ac:dyDescent="0.35">
      <c r="A17" s="7"/>
      <c r="B17" s="3" t="s">
        <v>18</v>
      </c>
      <c r="C17" s="3"/>
      <c r="D17">
        <v>18827.456268573998</v>
      </c>
      <c r="F17">
        <v>19948.7</v>
      </c>
      <c r="H17" s="5" t="s">
        <v>11</v>
      </c>
      <c r="I17">
        <v>44750.3</v>
      </c>
      <c r="J17">
        <v>19178.7</v>
      </c>
      <c r="K17">
        <v>11749.2</v>
      </c>
      <c r="L17">
        <v>14461.4</v>
      </c>
      <c r="M17">
        <f t="shared" ref="M17:M25" si="0">SUM(I17:L17)</f>
        <v>90139.599999999991</v>
      </c>
    </row>
    <row r="18" spans="1:16" x14ac:dyDescent="0.35">
      <c r="A18" s="7"/>
      <c r="B18" s="3" t="s">
        <v>19</v>
      </c>
      <c r="C18" s="3"/>
      <c r="D18">
        <v>13054.5569106154</v>
      </c>
      <c r="F18">
        <v>13054.6</v>
      </c>
      <c r="H18" s="5" t="s">
        <v>12</v>
      </c>
      <c r="I18">
        <v>40275.199999999997</v>
      </c>
      <c r="J18">
        <v>17260.8</v>
      </c>
      <c r="K18">
        <v>13054.6</v>
      </c>
      <c r="L18">
        <v>14461.4</v>
      </c>
      <c r="M18">
        <f t="shared" si="0"/>
        <v>85052</v>
      </c>
    </row>
    <row r="19" spans="1:16" x14ac:dyDescent="0.35">
      <c r="A19" s="7"/>
      <c r="B19" s="3" t="s">
        <v>20</v>
      </c>
      <c r="C19" s="3"/>
      <c r="D19">
        <v>16068.1899498819</v>
      </c>
      <c r="F19">
        <v>16068.2</v>
      </c>
      <c r="H19" s="5" t="s">
        <v>13</v>
      </c>
      <c r="I19">
        <v>40275.199999999997</v>
      </c>
      <c r="J19">
        <v>17260.8</v>
      </c>
      <c r="K19">
        <v>11749.2</v>
      </c>
      <c r="L19">
        <v>16068.2</v>
      </c>
      <c r="M19">
        <f t="shared" si="0"/>
        <v>85353.4</v>
      </c>
      <c r="O19">
        <f>I17+J17+K18+L19</f>
        <v>93051.8</v>
      </c>
      <c r="P19">
        <v>86919.1</v>
      </c>
    </row>
    <row r="20" spans="1:16" x14ac:dyDescent="0.35">
      <c r="A20" s="7"/>
      <c r="D20" s="5">
        <f>SUM(D16:D19)</f>
        <v>93051.681861971694</v>
      </c>
      <c r="E20" s="5"/>
      <c r="F20" s="5">
        <f t="shared" ref="F20" si="1">SUM(F16:F19)</f>
        <v>93051.8</v>
      </c>
    </row>
    <row r="21" spans="1:16" x14ac:dyDescent="0.35">
      <c r="A21" s="7" t="s">
        <v>7</v>
      </c>
    </row>
    <row r="22" spans="1:16" x14ac:dyDescent="0.35">
      <c r="A22" s="7"/>
      <c r="B22" s="3" t="s">
        <v>17</v>
      </c>
      <c r="C22" s="3"/>
      <c r="D22">
        <v>45551.821378897097</v>
      </c>
      <c r="F22">
        <v>44421.2</v>
      </c>
      <c r="G22">
        <v>44622.5</v>
      </c>
      <c r="H22" s="5" t="s">
        <v>10</v>
      </c>
      <c r="I22">
        <v>42512.7</v>
      </c>
      <c r="J22">
        <v>18219.7</v>
      </c>
      <c r="K22">
        <v>12401.9</v>
      </c>
      <c r="L22">
        <v>15264.8</v>
      </c>
      <c r="M22">
        <f t="shared" si="0"/>
        <v>88399.099999999991</v>
      </c>
    </row>
    <row r="23" spans="1:16" x14ac:dyDescent="0.35">
      <c r="A23" s="7"/>
      <c r="B23" s="3" t="s">
        <v>18</v>
      </c>
      <c r="C23" s="3"/>
      <c r="D23">
        <v>20658.4614301935</v>
      </c>
      <c r="F23">
        <v>20278.5</v>
      </c>
      <c r="G23">
        <v>20485.5</v>
      </c>
      <c r="H23" s="5" t="s">
        <v>11</v>
      </c>
      <c r="I23">
        <v>44750.3</v>
      </c>
      <c r="J23">
        <v>19178.7</v>
      </c>
      <c r="K23">
        <v>11749.2</v>
      </c>
      <c r="L23">
        <v>14461.4</v>
      </c>
      <c r="M23">
        <f t="shared" si="0"/>
        <v>90139.599999999991</v>
      </c>
      <c r="O23" s="6">
        <v>71032.149999999994</v>
      </c>
      <c r="P23" s="6">
        <v>65032.15</v>
      </c>
    </row>
    <row r="24" spans="1:16" x14ac:dyDescent="0.35">
      <c r="A24" s="7"/>
      <c r="B24" s="3" t="s">
        <v>19</v>
      </c>
      <c r="C24" s="3"/>
      <c r="D24">
        <v>14034.6296870727</v>
      </c>
      <c r="F24">
        <v>13651.6</v>
      </c>
      <c r="G24">
        <v>13243.5</v>
      </c>
      <c r="H24" s="5" t="s">
        <v>12</v>
      </c>
      <c r="I24">
        <v>40275.199999999997</v>
      </c>
      <c r="J24">
        <v>17260.8</v>
      </c>
      <c r="K24">
        <v>13054.6</v>
      </c>
      <c r="L24">
        <v>14461.4</v>
      </c>
      <c r="M24">
        <f t="shared" si="0"/>
        <v>85052</v>
      </c>
      <c r="O24" s="4">
        <v>14505.14</v>
      </c>
      <c r="P24" s="6">
        <v>13873.15</v>
      </c>
    </row>
    <row r="25" spans="1:16" x14ac:dyDescent="0.35">
      <c r="A25" s="7"/>
      <c r="B25" s="3" t="s">
        <v>20</v>
      </c>
      <c r="C25" s="3"/>
      <c r="D25">
        <v>12806.8224518477</v>
      </c>
      <c r="F25">
        <v>14700.4</v>
      </c>
      <c r="G25">
        <v>14700.4</v>
      </c>
      <c r="H25" s="5" t="s">
        <v>13</v>
      </c>
      <c r="I25">
        <v>40275.199999999997</v>
      </c>
      <c r="J25">
        <v>17260.8</v>
      </c>
      <c r="K25">
        <v>11749.2</v>
      </c>
      <c r="L25">
        <v>16068.2</v>
      </c>
      <c r="M25">
        <f t="shared" si="0"/>
        <v>85353.4</v>
      </c>
      <c r="O25" s="4">
        <v>17853.55</v>
      </c>
      <c r="P25" s="6">
        <v>14673.8</v>
      </c>
    </row>
    <row r="26" spans="1:16" x14ac:dyDescent="0.35">
      <c r="A26" s="7"/>
      <c r="D26" s="5">
        <f>SUM(D22:D25)</f>
        <v>93051.734948010999</v>
      </c>
      <c r="E26" s="5"/>
      <c r="F26" s="5">
        <f>SUM(F22:F25)</f>
        <v>93051.7</v>
      </c>
      <c r="G26">
        <f>SUM(G22:G25)</f>
        <v>93051.9</v>
      </c>
      <c r="O26">
        <f>SUM(O23:O25)*0.9</f>
        <v>93051.755999999994</v>
      </c>
      <c r="P26">
        <f>SUM(P23:P25)</f>
        <v>93579.1</v>
      </c>
    </row>
    <row r="27" spans="1:16" x14ac:dyDescent="0.35">
      <c r="A27" s="7" t="s">
        <v>6</v>
      </c>
    </row>
    <row r="28" spans="1:16" x14ac:dyDescent="0.35">
      <c r="A28" s="7"/>
    </row>
    <row r="29" spans="1:16" x14ac:dyDescent="0.35">
      <c r="A29" s="7"/>
      <c r="B29" s="3" t="s">
        <v>17</v>
      </c>
      <c r="C29" s="3"/>
      <c r="D29">
        <v>45180.308555776202</v>
      </c>
      <c r="F29">
        <v>44469.599999999999</v>
      </c>
    </row>
    <row r="30" spans="1:16" x14ac:dyDescent="0.35">
      <c r="A30" s="7"/>
      <c r="B30" s="3" t="s">
        <v>18</v>
      </c>
      <c r="C30" s="3"/>
      <c r="D30">
        <v>19891.066801582099</v>
      </c>
      <c r="F30">
        <v>20230.099999999999</v>
      </c>
    </row>
    <row r="31" spans="1:16" x14ac:dyDescent="0.35">
      <c r="A31" s="7"/>
      <c r="B31" s="3" t="s">
        <v>19</v>
      </c>
      <c r="C31" s="3"/>
      <c r="D31">
        <v>13078.465217108</v>
      </c>
      <c r="F31">
        <v>13651.6</v>
      </c>
    </row>
    <row r="32" spans="1:16" x14ac:dyDescent="0.35">
      <c r="A32" s="7"/>
      <c r="B32" s="3" t="s">
        <v>20</v>
      </c>
      <c r="C32" s="3"/>
      <c r="D32">
        <v>14901.9018941548</v>
      </c>
      <c r="F32">
        <v>14700.4</v>
      </c>
    </row>
    <row r="33" spans="1:12" x14ac:dyDescent="0.35">
      <c r="A33" s="8"/>
      <c r="B33" s="3"/>
      <c r="C33" s="3"/>
      <c r="D33" s="5">
        <f>SUM(D29:D32)</f>
        <v>93051.742468621102</v>
      </c>
      <c r="E33" s="5"/>
      <c r="F33" s="5">
        <f t="shared" ref="F33" si="2">SUM(F29:F32)</f>
        <v>93051.7</v>
      </c>
    </row>
    <row r="34" spans="1:12" x14ac:dyDescent="0.35">
      <c r="A34" s="7" t="s">
        <v>5</v>
      </c>
    </row>
    <row r="35" spans="1:12" x14ac:dyDescent="0.35">
      <c r="A35" s="7"/>
      <c r="D35">
        <v>42079.177376984597</v>
      </c>
      <c r="F35">
        <v>41667.599999999999</v>
      </c>
      <c r="H35" t="s">
        <v>10</v>
      </c>
      <c r="I35">
        <v>38921.699999999997</v>
      </c>
      <c r="J35">
        <v>16680.7</v>
      </c>
      <c r="K35">
        <v>11861.5</v>
      </c>
      <c r="L35">
        <v>12546.1</v>
      </c>
    </row>
    <row r="36" spans="1:12" x14ac:dyDescent="0.35">
      <c r="A36" s="7"/>
      <c r="D36">
        <v>16449.7461214008</v>
      </c>
      <c r="F36">
        <v>16861.3</v>
      </c>
      <c r="H36" t="s">
        <v>11</v>
      </c>
      <c r="I36">
        <v>40970.300000000003</v>
      </c>
      <c r="J36">
        <v>17558.7</v>
      </c>
      <c r="K36">
        <v>11237.3</v>
      </c>
      <c r="L36">
        <v>11885.8</v>
      </c>
    </row>
    <row r="37" spans="1:12" x14ac:dyDescent="0.35">
      <c r="A37" s="7"/>
      <c r="D37">
        <v>12485.770545670101</v>
      </c>
      <c r="F37">
        <v>12485.8</v>
      </c>
      <c r="H37" t="s">
        <v>12</v>
      </c>
      <c r="I37">
        <v>36873.199999999997</v>
      </c>
      <c r="J37">
        <v>15802.8</v>
      </c>
      <c r="K37">
        <v>12485.8</v>
      </c>
      <c r="L37">
        <v>11885.8</v>
      </c>
    </row>
    <row r="38" spans="1:12" x14ac:dyDescent="0.35">
      <c r="A38" s="7"/>
      <c r="D38">
        <v>13206.472288143401</v>
      </c>
      <c r="F38">
        <v>13206.4</v>
      </c>
      <c r="H38" t="s">
        <v>13</v>
      </c>
      <c r="I38">
        <v>36873.199999999997</v>
      </c>
      <c r="J38">
        <v>15802.8</v>
      </c>
      <c r="K38">
        <v>11237.3</v>
      </c>
      <c r="L38">
        <v>13206.4</v>
      </c>
    </row>
    <row r="39" spans="1:12" x14ac:dyDescent="0.35">
      <c r="A39" s="7"/>
      <c r="D39" s="5">
        <f>SUM(D35:D38)</f>
        <v>84221.166332198904</v>
      </c>
      <c r="E39" s="5"/>
      <c r="F39" s="5">
        <f>SUM(F35:F38)</f>
        <v>84221.099999999991</v>
      </c>
    </row>
  </sheetData>
  <mergeCells count="7">
    <mergeCell ref="A21:A26"/>
    <mergeCell ref="A27:A32"/>
    <mergeCell ref="A34:A39"/>
    <mergeCell ref="A1:F1"/>
    <mergeCell ref="A2:A7"/>
    <mergeCell ref="A9:A14"/>
    <mergeCell ref="A15:A20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91C82-6C6D-40EE-8BF2-E9DADBE04603}">
  <dimension ref="B1:Q34"/>
  <sheetViews>
    <sheetView topLeftCell="A12" workbookViewId="0">
      <selection activeCell="H15" sqref="H15"/>
    </sheetView>
  </sheetViews>
  <sheetFormatPr defaultRowHeight="14.5" x14ac:dyDescent="0.35"/>
  <cols>
    <col min="5" max="5" width="20" customWidth="1"/>
    <col min="6" max="6" width="22.1796875" customWidth="1"/>
    <col min="7" max="7" width="22.08984375" customWidth="1"/>
  </cols>
  <sheetData>
    <row r="1" spans="2:17" ht="22" customHeight="1" x14ac:dyDescent="0.35">
      <c r="B1" s="5" t="s">
        <v>52</v>
      </c>
    </row>
    <row r="2" spans="2:17" x14ac:dyDescent="0.35">
      <c r="B2" t="s">
        <v>32</v>
      </c>
      <c r="C2" t="s">
        <v>33</v>
      </c>
      <c r="D2" t="s">
        <v>34</v>
      </c>
      <c r="E2" t="s">
        <v>32</v>
      </c>
    </row>
    <row r="3" spans="2:17" x14ac:dyDescent="0.35">
      <c r="C3" t="s">
        <v>35</v>
      </c>
      <c r="D3" t="s">
        <v>36</v>
      </c>
      <c r="E3">
        <v>2012</v>
      </c>
      <c r="F3">
        <v>-1236.7</v>
      </c>
    </row>
    <row r="4" spans="2:17" x14ac:dyDescent="0.35">
      <c r="C4" t="s">
        <v>37</v>
      </c>
      <c r="D4" t="s">
        <v>38</v>
      </c>
      <c r="E4">
        <v>-1221.3</v>
      </c>
      <c r="F4">
        <v>1996.6</v>
      </c>
    </row>
    <row r="5" spans="2:17" x14ac:dyDescent="0.35">
      <c r="C5" t="s">
        <v>39</v>
      </c>
      <c r="D5" t="s">
        <v>40</v>
      </c>
      <c r="E5">
        <v>-363.9</v>
      </c>
      <c r="F5">
        <v>1139.5999999999999</v>
      </c>
    </row>
    <row r="6" spans="2:17" x14ac:dyDescent="0.35">
      <c r="B6" t="s">
        <v>41</v>
      </c>
      <c r="C6" t="s">
        <v>42</v>
      </c>
      <c r="D6" t="s">
        <v>43</v>
      </c>
      <c r="E6" t="s">
        <v>44</v>
      </c>
      <c r="F6" t="s">
        <v>45</v>
      </c>
      <c r="G6" t="s">
        <v>46</v>
      </c>
      <c r="H6" t="s">
        <v>47</v>
      </c>
    </row>
    <row r="7" spans="2:17" x14ac:dyDescent="0.35">
      <c r="B7" t="s">
        <v>41</v>
      </c>
      <c r="C7" t="s">
        <v>48</v>
      </c>
      <c r="D7" t="s">
        <v>36</v>
      </c>
      <c r="E7" t="s">
        <v>49</v>
      </c>
      <c r="F7" t="s">
        <v>50</v>
      </c>
      <c r="G7" t="s">
        <v>43</v>
      </c>
      <c r="H7" t="s">
        <v>37</v>
      </c>
      <c r="I7" t="s">
        <v>38</v>
      </c>
      <c r="J7" t="s">
        <v>49</v>
      </c>
      <c r="K7" t="s">
        <v>44</v>
      </c>
      <c r="L7" t="s">
        <v>45</v>
      </c>
      <c r="M7" t="s">
        <v>39</v>
      </c>
      <c r="N7" t="s">
        <v>40</v>
      </c>
      <c r="O7" t="s">
        <v>49</v>
      </c>
      <c r="P7" t="s">
        <v>46</v>
      </c>
      <c r="Q7" t="s">
        <v>51</v>
      </c>
    </row>
    <row r="10" spans="2:17" x14ac:dyDescent="0.35">
      <c r="B10" s="5" t="s">
        <v>53</v>
      </c>
    </row>
    <row r="11" spans="2:17" x14ac:dyDescent="0.35">
      <c r="B11" t="s">
        <v>32</v>
      </c>
      <c r="C11" t="s">
        <v>33</v>
      </c>
      <c r="D11" t="s">
        <v>34</v>
      </c>
      <c r="E11" t="s">
        <v>32</v>
      </c>
    </row>
    <row r="12" spans="2:17" x14ac:dyDescent="0.35">
      <c r="C12" t="s">
        <v>35</v>
      </c>
      <c r="D12" t="s">
        <v>36</v>
      </c>
      <c r="E12">
        <v>989.9</v>
      </c>
      <c r="F12">
        <v>-504.5</v>
      </c>
    </row>
    <row r="13" spans="2:17" x14ac:dyDescent="0.35">
      <c r="C13" t="s">
        <v>37</v>
      </c>
      <c r="D13" t="s">
        <v>38</v>
      </c>
      <c r="E13">
        <v>-1150.0999999999999</v>
      </c>
      <c r="F13">
        <v>1635.4</v>
      </c>
    </row>
    <row r="14" spans="2:17" x14ac:dyDescent="0.35">
      <c r="C14" t="s">
        <v>39</v>
      </c>
      <c r="D14" t="s">
        <v>40</v>
      </c>
      <c r="E14">
        <v>650</v>
      </c>
      <c r="F14">
        <v>-164.7</v>
      </c>
    </row>
    <row r="15" spans="2:17" x14ac:dyDescent="0.35">
      <c r="B15" t="s">
        <v>41</v>
      </c>
      <c r="C15" t="s">
        <v>54</v>
      </c>
      <c r="D15" t="s">
        <v>55</v>
      </c>
      <c r="E15" t="s">
        <v>56</v>
      </c>
      <c r="F15" t="s">
        <v>57</v>
      </c>
      <c r="G15" t="s">
        <v>58</v>
      </c>
      <c r="H15" t="s">
        <v>59</v>
      </c>
    </row>
    <row r="16" spans="2:17" x14ac:dyDescent="0.35">
      <c r="B16" t="s">
        <v>41</v>
      </c>
      <c r="C16" t="s">
        <v>48</v>
      </c>
      <c r="D16" t="s">
        <v>36</v>
      </c>
      <c r="E16" t="s">
        <v>49</v>
      </c>
      <c r="F16" t="s">
        <v>60</v>
      </c>
      <c r="G16" t="s">
        <v>55</v>
      </c>
      <c r="H16" t="s">
        <v>37</v>
      </c>
      <c r="I16" t="s">
        <v>38</v>
      </c>
      <c r="J16" t="s">
        <v>49</v>
      </c>
      <c r="K16" t="s">
        <v>56</v>
      </c>
      <c r="L16" t="s">
        <v>57</v>
      </c>
      <c r="M16" t="s">
        <v>39</v>
      </c>
      <c r="N16" t="s">
        <v>40</v>
      </c>
      <c r="O16" t="s">
        <v>49</v>
      </c>
      <c r="P16" t="s">
        <v>58</v>
      </c>
      <c r="Q16" t="s">
        <v>61</v>
      </c>
    </row>
    <row r="19" spans="2:17" x14ac:dyDescent="0.35">
      <c r="B19" s="5" t="s">
        <v>62</v>
      </c>
    </row>
    <row r="20" spans="2:17" x14ac:dyDescent="0.35">
      <c r="B20" t="s">
        <v>32</v>
      </c>
      <c r="C20" t="s">
        <v>33</v>
      </c>
      <c r="D20" t="s">
        <v>34</v>
      </c>
      <c r="E20" t="s">
        <v>32</v>
      </c>
    </row>
    <row r="21" spans="2:17" x14ac:dyDescent="0.35">
      <c r="C21" t="s">
        <v>35</v>
      </c>
      <c r="D21" t="s">
        <v>36</v>
      </c>
      <c r="E21">
        <v>2136.6999999999998</v>
      </c>
      <c r="F21">
        <v>-1255.5999999999999</v>
      </c>
    </row>
    <row r="22" spans="2:17" x14ac:dyDescent="0.35">
      <c r="C22" t="s">
        <v>37</v>
      </c>
      <c r="D22" t="s">
        <v>38</v>
      </c>
      <c r="E22">
        <v>-399</v>
      </c>
      <c r="F22">
        <v>1456.7</v>
      </c>
    </row>
    <row r="23" spans="2:17" x14ac:dyDescent="0.35">
      <c r="C23" t="s">
        <v>39</v>
      </c>
      <c r="D23" t="s">
        <v>40</v>
      </c>
      <c r="E23">
        <v>-476.7</v>
      </c>
      <c r="F23">
        <v>1798.9</v>
      </c>
    </row>
    <row r="24" spans="2:17" x14ac:dyDescent="0.35">
      <c r="B24" t="s">
        <v>41</v>
      </c>
      <c r="C24" t="s">
        <v>63</v>
      </c>
      <c r="D24" t="s">
        <v>64</v>
      </c>
      <c r="E24" t="s">
        <v>65</v>
      </c>
      <c r="F24" t="s">
        <v>66</v>
      </c>
      <c r="G24" t="s">
        <v>67</v>
      </c>
      <c r="H24" t="s">
        <v>68</v>
      </c>
    </row>
    <row r="25" spans="2:17" x14ac:dyDescent="0.35">
      <c r="B25" t="s">
        <v>41</v>
      </c>
      <c r="C25" t="s">
        <v>48</v>
      </c>
      <c r="D25" t="s">
        <v>36</v>
      </c>
      <c r="E25" t="s">
        <v>49</v>
      </c>
      <c r="F25" t="s">
        <v>69</v>
      </c>
      <c r="G25" t="s">
        <v>64</v>
      </c>
      <c r="H25" t="s">
        <v>37</v>
      </c>
      <c r="I25" t="s">
        <v>38</v>
      </c>
      <c r="J25" t="s">
        <v>49</v>
      </c>
      <c r="K25" t="s">
        <v>65</v>
      </c>
      <c r="L25" t="s">
        <v>66</v>
      </c>
      <c r="M25" t="s">
        <v>39</v>
      </c>
      <c r="N25" t="s">
        <v>40</v>
      </c>
      <c r="O25" t="s">
        <v>49</v>
      </c>
      <c r="P25" t="s">
        <v>67</v>
      </c>
      <c r="Q25" t="s">
        <v>70</v>
      </c>
    </row>
    <row r="28" spans="2:17" x14ac:dyDescent="0.35">
      <c r="B28" t="s">
        <v>71</v>
      </c>
    </row>
    <row r="29" spans="2:17" x14ac:dyDescent="0.35">
      <c r="B29" t="s">
        <v>32</v>
      </c>
      <c r="C29" t="s">
        <v>33</v>
      </c>
      <c r="D29" t="s">
        <v>34</v>
      </c>
      <c r="E29" t="s">
        <v>32</v>
      </c>
    </row>
    <row r="30" spans="2:17" x14ac:dyDescent="0.35">
      <c r="C30" t="s">
        <v>35</v>
      </c>
      <c r="D30" t="s">
        <v>36</v>
      </c>
      <c r="E30">
        <v>2528.9</v>
      </c>
      <c r="F30">
        <v>-1753.7</v>
      </c>
    </row>
    <row r="31" spans="2:17" x14ac:dyDescent="0.35">
      <c r="C31" t="s">
        <v>37</v>
      </c>
      <c r="D31" t="s">
        <v>38</v>
      </c>
      <c r="E31">
        <v>-1507.7</v>
      </c>
      <c r="F31">
        <v>2438</v>
      </c>
    </row>
    <row r="32" spans="2:17" x14ac:dyDescent="0.35">
      <c r="C32" t="s">
        <v>39</v>
      </c>
      <c r="D32" t="s">
        <v>40</v>
      </c>
      <c r="E32">
        <v>-152.6</v>
      </c>
      <c r="F32">
        <v>1315.7</v>
      </c>
    </row>
    <row r="33" spans="2:17" x14ac:dyDescent="0.35">
      <c r="B33" t="s">
        <v>41</v>
      </c>
      <c r="C33" t="s">
        <v>72</v>
      </c>
      <c r="D33" t="s">
        <v>73</v>
      </c>
      <c r="E33" t="s">
        <v>74</v>
      </c>
      <c r="F33" t="s">
        <v>75</v>
      </c>
      <c r="G33" t="s">
        <v>76</v>
      </c>
      <c r="H33" t="s">
        <v>77</v>
      </c>
    </row>
    <row r="34" spans="2:17" x14ac:dyDescent="0.35">
      <c r="B34" t="s">
        <v>41</v>
      </c>
      <c r="C34" t="s">
        <v>48</v>
      </c>
      <c r="D34" t="s">
        <v>36</v>
      </c>
      <c r="E34" t="s">
        <v>49</v>
      </c>
      <c r="F34" t="s">
        <v>78</v>
      </c>
      <c r="G34" t="s">
        <v>73</v>
      </c>
      <c r="H34" t="s">
        <v>37</v>
      </c>
      <c r="I34" t="s">
        <v>38</v>
      </c>
      <c r="J34" t="s">
        <v>49</v>
      </c>
      <c r="K34" t="s">
        <v>74</v>
      </c>
      <c r="L34" t="s">
        <v>75</v>
      </c>
      <c r="M34" t="s">
        <v>39</v>
      </c>
      <c r="N34" t="s">
        <v>40</v>
      </c>
      <c r="O34" t="s">
        <v>49</v>
      </c>
      <c r="P34" t="s">
        <v>76</v>
      </c>
      <c r="Q34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locational_const</vt:lpstr>
      <vt:lpstr>nodal allocation</vt:lpstr>
      <vt:lpstr>ATC_box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Kamaldeen Adekola</dc:creator>
  <cp:lastModifiedBy>Kamaldeen Adekola</cp:lastModifiedBy>
  <dcterms:created xsi:type="dcterms:W3CDTF">2015-06-05T18:17:20Z</dcterms:created>
  <dcterms:modified xsi:type="dcterms:W3CDTF">2025-11-06T16:53:26Z</dcterms:modified>
</cp:coreProperties>
</file>