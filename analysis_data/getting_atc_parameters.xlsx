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_border-CM\analysis_data\explicit_NTC\"/>
    </mc:Choice>
  </mc:AlternateContent>
  <xr:revisionPtr revIDLastSave="0" documentId="13_ncr:1_{F62A1405-AF2C-4994-9AE1-A42C2093FF27}" xr6:coauthVersionLast="47" xr6:coauthVersionMax="47" xr10:uidLastSave="{00000000-0000-0000-0000-000000000000}"/>
  <bookViews>
    <workbookView xWindow="31275" yWindow="2550" windowWidth="14400" windowHeight="11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G14" i="1"/>
  <c r="G13" i="1"/>
  <c r="G12" i="1"/>
  <c r="G7" i="1"/>
  <c r="G6" i="1"/>
  <c r="G5" i="1"/>
  <c r="G4" i="1"/>
  <c r="F12" i="1"/>
  <c r="F13" i="1"/>
  <c r="F14" i="1"/>
  <c r="F15" i="1"/>
  <c r="E15" i="1"/>
  <c r="D15" i="1"/>
  <c r="E14" i="1"/>
  <c r="D14" i="1"/>
  <c r="E13" i="1"/>
  <c r="D13" i="1"/>
  <c r="E12" i="1"/>
  <c r="D12" i="1"/>
  <c r="E7" i="1"/>
  <c r="F7" i="1" s="1"/>
  <c r="E6" i="1"/>
  <c r="E5" i="1"/>
  <c r="F5" i="1" s="1"/>
  <c r="E4" i="1"/>
  <c r="D7" i="1"/>
  <c r="D6" i="1"/>
  <c r="D5" i="1"/>
  <c r="D4" i="1"/>
  <c r="F16" i="1" l="1"/>
  <c r="G8" i="1"/>
  <c r="G16" i="1"/>
  <c r="F6" i="1"/>
  <c r="F4" i="1"/>
  <c r="F8" i="1" s="1"/>
</calcChain>
</file>

<file path=xl/sharedStrings.xml><?xml version="1.0" encoding="utf-8"?>
<sst xmlns="http://schemas.openxmlformats.org/spreadsheetml/2006/main" count="40" uniqueCount="26">
  <si>
    <t>Node</t>
  </si>
  <si>
    <t>NewCapacity</t>
  </si>
  <si>
    <t>Total Available Generation</t>
  </si>
  <si>
    <t>MCP</t>
  </si>
  <si>
    <t>PLANNER</t>
  </si>
  <si>
    <t>n1</t>
  </si>
  <si>
    <t>n2</t>
  </si>
  <si>
    <t>n3</t>
  </si>
  <si>
    <t>n4</t>
  </si>
  <si>
    <t>Peak Demand * NodeShare</t>
  </si>
  <si>
    <t>Wind * NodeShare * AF during scarcity</t>
  </si>
  <si>
    <t>PV * NodeShare * AF during scarcity</t>
  </si>
  <si>
    <t>julia&gt; value.(cm_model.ext[:variables][:g_scar])</t>
  </si>
  <si>
    <t>2-dimensional DenseAxisArray{Float64,2,...} with index sets:</t>
  </si>
  <si>
    <t xml:space="preserve">    Dimension 1, 1:4</t>
  </si>
  <si>
    <t xml:space="preserve">    Dimension 2, 1:4</t>
  </si>
  <si>
    <t>And data, a 4×4 Matrix{Float64}:</t>
  </si>
  <si>
    <t xml:space="preserve"> 31313.8  14134.5  14059.8  23599.6</t>
  </si>
  <si>
    <t xml:space="preserve"> 35237.6  15816.1  14059.8  23599.6</t>
  </si>
  <si>
    <t xml:space="preserve"> 31313.8  14134.5  15733.1  23599.6</t>
  </si>
  <si>
    <t xml:space="preserve"> 31313.8  14134.5  14059.8  25555.1</t>
  </si>
  <si>
    <t>julia&gt; value.(cm_model.ext[:expressions][:demand])</t>
  </si>
  <si>
    <t xml:space="preserve"> 35313.8  15134.5  15059.8  17599.6</t>
  </si>
  <si>
    <t xml:space="preserve"> 39237.6  16816.1  15059.8  17599.6</t>
  </si>
  <si>
    <t xml:space="preserve"> 35313.8  15134.5  16733.1  17599.6</t>
  </si>
  <si>
    <t>n1 n2 n3 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</si>
</sst>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37"/>
  <sheetViews>
    <sheetView tabSelected="1" topLeftCell="A15" workbookViewId="0">
      <selection activeCell="E20" sqref="E20"/>
    </sheetView>
  </sheetViews>
  <sheetFormatPr defaultRowHeight="15" x14ac:dyDescent="0.25"/>
  <cols>
    <col min="1" max="1" width="3.5703125" customWidth="1"/>
    <col min="3" max="3" width="13.7109375" customWidth="1"/>
    <col min="4" max="5" width="46.85546875" customWidth="1"/>
    <col min="6" max="6" width="25.28515625" customWidth="1"/>
    <col min="7" max="7" width="25.140625" customWidth="1"/>
  </cols>
  <sheetData>
    <row r="2" spans="2:7" x14ac:dyDescent="0.25">
      <c r="B2" t="s">
        <v>4</v>
      </c>
    </row>
    <row r="3" spans="2:7" x14ac:dyDescent="0.25">
      <c r="B3" t="s">
        <v>0</v>
      </c>
      <c r="C3" t="s">
        <v>1</v>
      </c>
      <c r="D3" t="s">
        <v>10</v>
      </c>
      <c r="E3" t="s">
        <v>11</v>
      </c>
      <c r="F3" t="s">
        <v>2</v>
      </c>
      <c r="G3" t="s">
        <v>9</v>
      </c>
    </row>
    <row r="4" spans="2:7" x14ac:dyDescent="0.25">
      <c r="B4" t="s">
        <v>5</v>
      </c>
      <c r="C4">
        <v>39313.800000000003</v>
      </c>
      <c r="D4">
        <f>72618*0.5*0.358110248</f>
        <v>13002.624994632</v>
      </c>
      <c r="E4">
        <f>86952*0.5*0.075829193</f>
        <v>3296.7499948680002</v>
      </c>
      <c r="F4">
        <f>SUM(C4:E4)</f>
        <v>55613.174989500003</v>
      </c>
      <c r="G4">
        <f>56053.68*0.7*0.9</f>
        <v>35313.818400000004</v>
      </c>
    </row>
    <row r="5" spans="2:7" x14ac:dyDescent="0.25">
      <c r="B5" t="s">
        <v>6</v>
      </c>
      <c r="C5">
        <v>10134.5</v>
      </c>
      <c r="D5">
        <f>72618*0.5*0.358110248</f>
        <v>13002.624994632</v>
      </c>
      <c r="E5">
        <f>86952*0.5*0.075829193</f>
        <v>3296.7499948680002</v>
      </c>
      <c r="F5">
        <f>SUM(C5:E5)</f>
        <v>26433.874989500004</v>
      </c>
      <c r="G5">
        <f>56053.68*0.3*0.9</f>
        <v>15134.4936</v>
      </c>
    </row>
    <row r="6" spans="2:7" x14ac:dyDescent="0.25">
      <c r="B6" t="s">
        <v>7</v>
      </c>
      <c r="C6">
        <v>10059</v>
      </c>
      <c r="D6">
        <f>5439*1*0.285310235</f>
        <v>1551.8023681650002</v>
      </c>
      <c r="E6">
        <f>10794*1*0.036964981</f>
        <v>399.00000491399999</v>
      </c>
      <c r="F6">
        <f>SUM(C6:E6)</f>
        <v>12009.802373079001</v>
      </c>
      <c r="G6">
        <f>16733.09*0.9</f>
        <v>15059.781000000001</v>
      </c>
    </row>
    <row r="7" spans="2:7" x14ac:dyDescent="0.25">
      <c r="B7" t="s">
        <v>8</v>
      </c>
      <c r="C7">
        <v>23599.599999999999</v>
      </c>
      <c r="D7">
        <f>11706*1*0.141128481</f>
        <v>1652.0499985859999</v>
      </c>
      <c r="E7">
        <f>27259*1*0.00979493</f>
        <v>266.99999687000002</v>
      </c>
      <c r="F7">
        <f>SUM(C7:E7)</f>
        <v>25518.649995455999</v>
      </c>
      <c r="G7">
        <f>19555.09*0.9</f>
        <v>17599.581000000002</v>
      </c>
    </row>
    <row r="8" spans="2:7" x14ac:dyDescent="0.25">
      <c r="F8">
        <f>SUM(F4:F7)</f>
        <v>119575.502347535</v>
      </c>
      <c r="G8">
        <f>SUM(G4:G7)</f>
        <v>83107.674000000014</v>
      </c>
    </row>
    <row r="10" spans="2:7" x14ac:dyDescent="0.25">
      <c r="B10" t="s">
        <v>3</v>
      </c>
    </row>
    <row r="11" spans="2:7" x14ac:dyDescent="0.25">
      <c r="B11" t="s">
        <v>0</v>
      </c>
      <c r="C11" t="s">
        <v>1</v>
      </c>
      <c r="D11" t="s">
        <v>10</v>
      </c>
      <c r="E11" t="s">
        <v>11</v>
      </c>
      <c r="F11" t="s">
        <v>2</v>
      </c>
      <c r="G11" t="s">
        <v>9</v>
      </c>
    </row>
    <row r="12" spans="2:7" x14ac:dyDescent="0.25">
      <c r="B12" t="s">
        <v>5</v>
      </c>
      <c r="C12">
        <v>37247.199999999997</v>
      </c>
      <c r="D12">
        <f>72618*0.5*0.358110248</f>
        <v>13002.624994632</v>
      </c>
      <c r="E12">
        <f>86952*0.5*0.075829193</f>
        <v>3296.7499948680002</v>
      </c>
      <c r="F12">
        <f>SUM(C12:E12)</f>
        <v>53546.574989499997</v>
      </c>
      <c r="G12">
        <f>56053.68*0.7*0.9</f>
        <v>35313.818400000004</v>
      </c>
    </row>
    <row r="13" spans="2:7" x14ac:dyDescent="0.25">
      <c r="B13" t="s">
        <v>6</v>
      </c>
      <c r="C13">
        <v>19411.900000000001</v>
      </c>
      <c r="D13">
        <f>72618*0.5*0.358110248</f>
        <v>13002.624994632</v>
      </c>
      <c r="E13">
        <f>86952*0.5*0.075829193</f>
        <v>3296.7499948680002</v>
      </c>
      <c r="F13">
        <f t="shared" ref="F13:F15" si="0">SUM(C13:E13)</f>
        <v>35711.274989500002</v>
      </c>
      <c r="G13">
        <f>56053.68*0.3*0.9</f>
        <v>15134.4936</v>
      </c>
    </row>
    <row r="14" spans="2:7" x14ac:dyDescent="0.25">
      <c r="B14" t="s">
        <v>7</v>
      </c>
      <c r="C14">
        <v>17406.400000000001</v>
      </c>
      <c r="D14">
        <f>5439*1*0.285310235</f>
        <v>1551.8023681650002</v>
      </c>
      <c r="E14">
        <f>10794*1*0.036964981</f>
        <v>399.00000491399999</v>
      </c>
      <c r="F14">
        <f t="shared" si="0"/>
        <v>19357.202373079002</v>
      </c>
      <c r="G14">
        <f>16733.09*0.9</f>
        <v>15059.781000000001</v>
      </c>
    </row>
    <row r="15" spans="2:7" x14ac:dyDescent="0.25">
      <c r="B15" t="s">
        <v>8</v>
      </c>
      <c r="C15">
        <v>27510.6</v>
      </c>
      <c r="D15">
        <f>11706*1*0.141128481</f>
        <v>1652.0499985859999</v>
      </c>
      <c r="E15">
        <f>27259*1*0.00979493</f>
        <v>266.99999687000002</v>
      </c>
      <c r="F15">
        <f t="shared" si="0"/>
        <v>29429.649995455999</v>
      </c>
      <c r="G15">
        <f>19555.09*0.9</f>
        <v>17599.581000000002</v>
      </c>
    </row>
    <row r="16" spans="2:7" x14ac:dyDescent="0.25">
      <c r="F16">
        <f>SUM(F12:F15)</f>
        <v>138044.702347535</v>
      </c>
      <c r="G16">
        <f>SUM(G12:G15)</f>
        <v>83107.674000000014</v>
      </c>
    </row>
    <row r="19" spans="3:3" x14ac:dyDescent="0.25">
      <c r="C19" t="s">
        <v>12</v>
      </c>
    </row>
    <row r="20" spans="3:3" x14ac:dyDescent="0.25">
      <c r="C20" t="s">
        <v>13</v>
      </c>
    </row>
    <row r="21" spans="3:3" x14ac:dyDescent="0.25">
      <c r="C21" t="s">
        <v>14</v>
      </c>
    </row>
    <row r="22" spans="3:3" x14ac:dyDescent="0.25">
      <c r="C22" t="s">
        <v>15</v>
      </c>
    </row>
    <row r="23" spans="3:3" x14ac:dyDescent="0.25">
      <c r="C23" t="s">
        <v>16</v>
      </c>
    </row>
    <row r="24" spans="3:3" x14ac:dyDescent="0.25">
      <c r="C24" t="s">
        <v>25</v>
      </c>
    </row>
    <row r="25" spans="3:3" x14ac:dyDescent="0.25">
      <c r="C25" t="s">
        <v>17</v>
      </c>
    </row>
    <row r="26" spans="3:3" x14ac:dyDescent="0.25">
      <c r="C26" t="s">
        <v>18</v>
      </c>
    </row>
    <row r="27" spans="3:3" x14ac:dyDescent="0.25">
      <c r="C27" t="s">
        <v>19</v>
      </c>
    </row>
    <row r="28" spans="3:3" x14ac:dyDescent="0.25">
      <c r="C28" t="s">
        <v>20</v>
      </c>
    </row>
    <row r="30" spans="3:3" x14ac:dyDescent="0.25">
      <c r="C30" t="s">
        <v>21</v>
      </c>
    </row>
    <row r="31" spans="3:3" x14ac:dyDescent="0.25">
      <c r="C31" t="s">
        <v>13</v>
      </c>
    </row>
    <row r="32" spans="3:3" x14ac:dyDescent="0.25">
      <c r="C32" t="s">
        <v>14</v>
      </c>
    </row>
    <row r="33" spans="3:3" x14ac:dyDescent="0.25">
      <c r="C33" t="s">
        <v>15</v>
      </c>
    </row>
    <row r="34" spans="3:3" x14ac:dyDescent="0.25">
      <c r="C34" t="s">
        <v>16</v>
      </c>
    </row>
    <row r="35" spans="3:3" x14ac:dyDescent="0.25">
      <c r="C35" t="s">
        <v>22</v>
      </c>
    </row>
    <row r="36" spans="3:3" x14ac:dyDescent="0.25">
      <c r="C36" t="s">
        <v>23</v>
      </c>
    </row>
    <row r="37" spans="3:3" x14ac:dyDescent="0.25">
      <c r="C37" t="s">
        <v>24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2025-10-22T14:49:16Z</dcterms:modified>
</cp:coreProperties>
</file>