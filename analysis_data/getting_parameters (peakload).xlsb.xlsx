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dekola\github_codes\cross_border-CM\analysis_data\"/>
    </mc:Choice>
  </mc:AlternateContent>
  <xr:revisionPtr revIDLastSave="0" documentId="13_ncr:1_{14219D48-7949-49D7-B33F-1D4AF7197694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params" sheetId="5" r:id="rId1"/>
    <sheet name="nodal allocation" sheetId="3" r:id="rId2"/>
    <sheet name="ATC_box" sheetId="4" r:id="rId3"/>
    <sheet name="Congestion rent" sheetId="6" state="hidden" r:id="rId4"/>
    <sheet name="R2R_capacity_demand_correction" sheetId="7" state="hidden" r:id="rId5"/>
    <sheet name="ATC_box (cm-ref)" sheetId="11" r:id="rId6"/>
    <sheet name="R2R_capacity_demand_proportions" sheetId="10" r:id="rId7"/>
    <sheet name="ADMM_Residuals" sheetId="8" r:id="rId8"/>
    <sheet name="R2R_capacity_deman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1" l="1"/>
  <c r="G41" i="11"/>
  <c r="G40" i="11"/>
  <c r="G40" i="4"/>
  <c r="G41" i="4"/>
  <c r="G42" i="4"/>
  <c r="M58" i="10"/>
  <c r="M57" i="10"/>
  <c r="M56" i="10"/>
  <c r="F48" i="3"/>
  <c r="D48" i="3"/>
  <c r="H47" i="3"/>
  <c r="H46" i="3"/>
  <c r="G45" i="3"/>
  <c r="G44" i="3"/>
  <c r="H44" i="3" s="1"/>
  <c r="E69" i="10"/>
  <c r="E68" i="10"/>
  <c r="E67" i="10"/>
  <c r="D69" i="10"/>
  <c r="D68" i="10"/>
  <c r="D67" i="10"/>
  <c r="C69" i="10"/>
  <c r="C68" i="10"/>
  <c r="C67" i="10"/>
  <c r="C62" i="10"/>
  <c r="J65" i="10"/>
  <c r="J64" i="10"/>
  <c r="J63" i="10"/>
  <c r="J62" i="10"/>
  <c r="G65" i="10"/>
  <c r="F65" i="10"/>
  <c r="H65" i="10"/>
  <c r="H62" i="10"/>
  <c r="G62" i="10"/>
  <c r="F62" i="10"/>
  <c r="H64" i="10"/>
  <c r="G64" i="10"/>
  <c r="F64" i="10"/>
  <c r="H63" i="10"/>
  <c r="G63" i="10"/>
  <c r="F63" i="10"/>
  <c r="C55" i="10"/>
  <c r="H38" i="3"/>
  <c r="H37" i="3"/>
  <c r="H32" i="3"/>
  <c r="H31" i="3"/>
  <c r="H25" i="3"/>
  <c r="H24" i="3"/>
  <c r="H19" i="3"/>
  <c r="H18" i="3"/>
  <c r="H13" i="3"/>
  <c r="H12" i="3"/>
  <c r="G10" i="3"/>
  <c r="G4" i="3"/>
  <c r="H16" i="3" s="1"/>
  <c r="E68" i="9"/>
  <c r="J64" i="9"/>
  <c r="E69" i="9"/>
  <c r="J63" i="9"/>
  <c r="D69" i="9" s="1"/>
  <c r="J62" i="9"/>
  <c r="D68" i="9"/>
  <c r="D67" i="9"/>
  <c r="C69" i="9"/>
  <c r="C68" i="9"/>
  <c r="C67" i="9"/>
  <c r="N75" i="10"/>
  <c r="C42" i="10"/>
  <c r="C41" i="10"/>
  <c r="C40" i="10"/>
  <c r="E57" i="10"/>
  <c r="E64" i="10" s="1"/>
  <c r="N76" i="10" s="1"/>
  <c r="E56" i="10"/>
  <c r="E63" i="10" s="1"/>
  <c r="C32" i="10" s="1"/>
  <c r="E55" i="10"/>
  <c r="E62" i="10" s="1"/>
  <c r="D57" i="10"/>
  <c r="D64" i="10" s="1"/>
  <c r="D56" i="10"/>
  <c r="D63" i="10" s="1"/>
  <c r="D55" i="10"/>
  <c r="D62" i="10" s="1"/>
  <c r="C57" i="10"/>
  <c r="C64" i="10" s="1"/>
  <c r="C56" i="10"/>
  <c r="C63" i="10" s="1"/>
  <c r="C30" i="10" s="1"/>
  <c r="D40" i="10"/>
  <c r="C23" i="10"/>
  <c r="M22" i="10"/>
  <c r="D22" i="10"/>
  <c r="M21" i="10"/>
  <c r="D21" i="10"/>
  <c r="M20" i="10"/>
  <c r="D20" i="10"/>
  <c r="C16" i="10"/>
  <c r="L65" i="9"/>
  <c r="G42" i="9"/>
  <c r="G41" i="9"/>
  <c r="G40" i="9"/>
  <c r="G64" i="9"/>
  <c r="E64" i="9"/>
  <c r="D64" i="9"/>
  <c r="C64" i="9"/>
  <c r="E63" i="9"/>
  <c r="D63" i="9"/>
  <c r="C63" i="9"/>
  <c r="E62" i="9"/>
  <c r="C62" i="9"/>
  <c r="D40" i="9" s="1"/>
  <c r="D43" i="9" s="1"/>
  <c r="E55" i="9"/>
  <c r="D55" i="9"/>
  <c r="D62" i="9" s="1"/>
  <c r="D42" i="9"/>
  <c r="C42" i="9"/>
  <c r="D41" i="9"/>
  <c r="C41" i="9"/>
  <c r="C43" i="9" s="1"/>
  <c r="C40" i="9"/>
  <c r="C23" i="9"/>
  <c r="J22" i="9"/>
  <c r="D22" i="9"/>
  <c r="J21" i="9"/>
  <c r="J23" i="9" s="1"/>
  <c r="D21" i="9"/>
  <c r="J20" i="9"/>
  <c r="D20" i="9"/>
  <c r="C16" i="9"/>
  <c r="H56" i="7"/>
  <c r="J56" i="7"/>
  <c r="C32" i="7"/>
  <c r="D42" i="7"/>
  <c r="D43" i="7" s="1"/>
  <c r="D41" i="7"/>
  <c r="D40" i="7"/>
  <c r="C31" i="7"/>
  <c r="C30" i="7"/>
  <c r="E69" i="7"/>
  <c r="E68" i="7"/>
  <c r="E67" i="7"/>
  <c r="D69" i="7"/>
  <c r="D68" i="7"/>
  <c r="D67" i="7"/>
  <c r="C69" i="7"/>
  <c r="C68" i="7"/>
  <c r="C67" i="7"/>
  <c r="G63" i="7"/>
  <c r="G64" i="7"/>
  <c r="G62" i="7"/>
  <c r="D63" i="7"/>
  <c r="E63" i="7"/>
  <c r="D64" i="7"/>
  <c r="E64" i="7"/>
  <c r="E62" i="7"/>
  <c r="D62" i="7"/>
  <c r="C64" i="7"/>
  <c r="C63" i="7"/>
  <c r="C62" i="7"/>
  <c r="E55" i="7"/>
  <c r="D55" i="7"/>
  <c r="C42" i="7"/>
  <c r="C41" i="7"/>
  <c r="C40" i="7"/>
  <c r="D22" i="7"/>
  <c r="D21" i="7"/>
  <c r="D20" i="7"/>
  <c r="J21" i="7"/>
  <c r="J22" i="7"/>
  <c r="J20" i="7"/>
  <c r="C23" i="7"/>
  <c r="C16" i="7"/>
  <c r="A9" i="6"/>
  <c r="C9" i="6"/>
  <c r="D9" i="6"/>
  <c r="E9" i="6"/>
  <c r="F9" i="6"/>
  <c r="B9" i="6"/>
  <c r="G36" i="3"/>
  <c r="G35" i="3"/>
  <c r="G30" i="3"/>
  <c r="G29" i="3"/>
  <c r="G16" i="3"/>
  <c r="G17" i="3"/>
  <c r="D20" i="3"/>
  <c r="F20" i="3"/>
  <c r="G23" i="3"/>
  <c r="G22" i="3"/>
  <c r="D8" i="3"/>
  <c r="F33" i="3"/>
  <c r="D33" i="3"/>
  <c r="D39" i="3"/>
  <c r="F39" i="3"/>
  <c r="D26" i="3"/>
  <c r="F26" i="3"/>
  <c r="D14" i="3"/>
  <c r="H22" i="3" l="1"/>
  <c r="H29" i="3"/>
  <c r="H35" i="3"/>
  <c r="H10" i="3"/>
  <c r="M23" i="10"/>
  <c r="E67" i="9"/>
  <c r="D41" i="10"/>
  <c r="C31" i="10"/>
  <c r="C33" i="10"/>
  <c r="C43" i="10"/>
  <c r="I62" i="10"/>
  <c r="I63" i="10"/>
  <c r="I64" i="10"/>
  <c r="D42" i="10"/>
  <c r="G62" i="9"/>
  <c r="C31" i="9"/>
  <c r="G63" i="9"/>
  <c r="C30" i="9"/>
  <c r="C32" i="9"/>
  <c r="J23" i="7"/>
  <c r="C33" i="7"/>
  <c r="C43" i="7"/>
  <c r="G11" i="3"/>
  <c r="G5" i="3"/>
  <c r="F14" i="3"/>
  <c r="F8" i="3"/>
  <c r="K64" i="10" l="1"/>
  <c r="N74" i="10" s="1"/>
  <c r="D43" i="10"/>
  <c r="I40" i="10" s="1"/>
  <c r="M62" i="10" s="1"/>
  <c r="C33" i="9"/>
  <c r="I42" i="10" l="1"/>
  <c r="M64" i="10" s="1"/>
  <c r="I41" i="10"/>
  <c r="M63" i="10" s="1"/>
  <c r="M65" i="10"/>
  <c r="I43" i="10" l="1"/>
</calcChain>
</file>

<file path=xl/sharedStrings.xml><?xml version="1.0" encoding="utf-8"?>
<sst xmlns="http://schemas.openxmlformats.org/spreadsheetml/2006/main" count="1508" uniqueCount="336">
  <si>
    <t>EOM</t>
  </si>
  <si>
    <t>price cap</t>
  </si>
  <si>
    <t>NoCBP</t>
  </si>
  <si>
    <t>Implicit</t>
  </si>
  <si>
    <t>NTC</t>
  </si>
  <si>
    <t>FBMC</t>
  </si>
  <si>
    <t>Y_Nodal split</t>
  </si>
  <si>
    <t>MCP</t>
  </si>
  <si>
    <t>Planner</t>
  </si>
  <si>
    <t>n1</t>
  </si>
  <si>
    <t>n2</t>
  </si>
  <si>
    <t>n3</t>
  </si>
  <si>
    <t>n4</t>
  </si>
  <si>
    <t>Price cap</t>
  </si>
  <si>
    <t>No CBP</t>
  </si>
  <si>
    <t>===</t>
  </si>
  <si>
    <t>ATC-EP</t>
  </si>
  <si>
    <t>results</t>
  </si>
  <si>
    <t>(:A,</t>
  </si>
  <si>
    <t>:C)</t>
  </si>
  <si>
    <t>(:C,</t>
  </si>
  <si>
    <t>:B)</t>
  </si>
  <si>
    <t>(:B,</t>
  </si>
  <si>
    <t>:A)</t>
  </si>
  <si>
    <t>ATC:</t>
  </si>
  <si>
    <t>Dict((:A,</t>
  </si>
  <si>
    <t>=&gt;</t>
  </si>
  <si>
    <t>Scarcity at A</t>
  </si>
  <si>
    <t>Scarcity at B</t>
  </si>
  <si>
    <t>Scarcity at C</t>
  </si>
  <si>
    <t>A</t>
  </si>
  <si>
    <t>B</t>
  </si>
  <si>
    <t>C</t>
  </si>
  <si>
    <t xml:space="preserve">    </t>
  </si>
  <si>
    <t># ATC: [(3000.0000000000036, -3000.0), (655.7499999999674, -655.75), (1282.9500000000007, -344.2500000000018)]</t>
  </si>
  <si>
    <r>
      <t xml:space="preserve">  </t>
    </r>
    <r>
      <rPr>
        <i/>
        <sz val="11"/>
        <color rgb="FF5C6370"/>
        <rFont val="Consolas"/>
        <family val="3"/>
      </rPr>
      <t># MC_reserve: 50000 # €/MWh higher than voll</t>
    </r>
  </si>
  <si>
    <t># same variable cost for all generators.</t>
  </si>
  <si>
    <t>Network Manager</t>
  </si>
  <si>
    <t>Capacity Manager</t>
  </si>
  <si>
    <t>Total interconnector revenue</t>
  </si>
  <si>
    <t>noCBP</t>
  </si>
  <si>
    <t>eom</t>
  </si>
  <si>
    <t>Zone B</t>
  </si>
  <si>
    <t>Zone C</t>
  </si>
  <si>
    <t>Zone A</t>
  </si>
  <si>
    <t>exporting</t>
  </si>
  <si>
    <t>importing</t>
  </si>
  <si>
    <r>
      <t xml:space="preserve">    </t>
    </r>
    <r>
      <rPr>
        <sz val="11"/>
        <color rgb="FF569CD6"/>
        <rFont val="Consolas"/>
        <family val="3"/>
      </rPr>
      <t>capacity_target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14185.6</t>
    </r>
    <r>
      <rPr>
        <sz val="11"/>
        <color rgb="FFD4D4D4"/>
        <rFont val="Consolas"/>
        <family val="3"/>
      </rPr>
      <t xml:space="preserve"> </t>
    </r>
    <r>
      <rPr>
        <sz val="11"/>
        <color rgb="FF6A9955"/>
        <rFont val="Consolas"/>
        <family val="3"/>
      </rPr>
      <t># "FB-D"/ "ATC"  - 14185.6 / "noCBP" - 16123.7 / "implicit" - 16123.7</t>
    </r>
  </si>
  <si>
    <r>
      <t xml:space="preserve">    </t>
    </r>
    <r>
      <rPr>
        <sz val="11"/>
        <color rgb="FF569CD6"/>
        <rFont val="Consolas"/>
        <family val="3"/>
      </rPr>
      <t>capacity_target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13171.83</t>
    </r>
    <r>
      <rPr>
        <sz val="11"/>
        <color rgb="FFD4D4D4"/>
        <rFont val="Consolas"/>
        <family val="3"/>
      </rPr>
      <t xml:space="preserve"> </t>
    </r>
    <r>
      <rPr>
        <sz val="11"/>
        <color rgb="FF6A9955"/>
        <rFont val="Consolas"/>
        <family val="3"/>
      </rPr>
      <t># "FB-D"/ "ATC" - 13171.83 / "noCBP" - 13171.9 / "implicit" - 12160.39</t>
    </r>
  </si>
  <si>
    <r>
      <t xml:space="preserve">    </t>
    </r>
    <r>
      <rPr>
        <sz val="11"/>
        <color rgb="FF569CD6"/>
        <rFont val="Consolas"/>
        <family val="3"/>
      </rPr>
      <t>capacity_target</t>
    </r>
    <r>
      <rPr>
        <sz val="11"/>
        <color rgb="FFD4D4D4"/>
        <rFont val="Consolas"/>
        <family val="3"/>
      </rPr>
      <t xml:space="preserve">: </t>
    </r>
    <r>
      <rPr>
        <sz val="11"/>
        <color rgb="FFB5CEA8"/>
        <rFont val="Consolas"/>
        <family val="3"/>
      </rPr>
      <t>12813.3</t>
    </r>
    <r>
      <rPr>
        <sz val="11"/>
        <color rgb="FFD4D4D4"/>
        <rFont val="Consolas"/>
        <family val="3"/>
      </rPr>
      <t xml:space="preserve">  </t>
    </r>
    <r>
      <rPr>
        <sz val="11"/>
        <color rgb="FF6A9955"/>
        <rFont val="Consolas"/>
        <family val="3"/>
      </rPr>
      <t xml:space="preserve"># "FB-D"/ "ATC" - 12813.3 / "noCBP" - 14180.5 / "implicit" - 11176.2 </t>
    </r>
  </si>
  <si>
    <t>Coincident system peak residual hour (EOM-ref, MCP): hour 19 System residual demand at that hour: 40,170.8 MW</t>
  </si>
  <si>
    <t>Own Peak (for CBP)</t>
  </si>
  <si>
    <t>For FBMC/NTC</t>
  </si>
  <si>
    <t>Deducting imports from CBP values</t>
  </si>
  <si>
    <t>Current Values</t>
  </si>
  <si>
    <t>Proposed</t>
  </si>
  <si>
    <t>For CBP</t>
  </si>
  <si>
    <t>This value is subject to yearly joint scarcity assessment</t>
  </si>
  <si>
    <t>For implicit, we assume the same peak residual demand coincidence as for explicit but no explicitremuneration of foreign capacity</t>
  </si>
  <si>
    <t>Ratio of load during system peak to own peak load</t>
  </si>
  <si>
    <t>Coincident system peak load: hour 19</t>
  </si>
  <si>
    <t>Max</t>
  </si>
  <si>
    <t>EOM-Primal:</t>
  </si>
  <si>
    <t>EOM-Dual:</t>
  </si>
  <si>
    <t>CM-Primal:</t>
  </si>
  <si>
    <t>CM-Dual:</t>
  </si>
  <si>
    <t>10.0k/10.0k</t>
  </si>
  <si>
    <t>Done!</t>
  </si>
  <si>
    <t>Required</t>
  </si>
  <si>
    <t>iterations:</t>
  </si>
  <si>
    <t>RP</t>
  </si>
  <si>
    <t>for</t>
  </si>
  <si>
    <t>zone</t>
  </si>
  <si>
    <t>A:</t>
  </si>
  <si>
    <t>--</t>
  </si>
  <si>
    <t>Tolerance:</t>
  </si>
  <si>
    <t>RD</t>
  </si>
  <si>
    <t>CM</t>
  </si>
  <si>
    <t>B:</t>
  </si>
  <si>
    <t>C:</t>
  </si>
  <si>
    <t>Postprocessing</t>
  </si>
  <si>
    <t>&amp;</t>
  </si>
  <si>
    <t>save</t>
  </si>
  <si>
    <t>results:</t>
  </si>
  <si>
    <t>done</t>
  </si>
  <si>
    <t>julia&gt;</t>
  </si>
  <si>
    <t>1-dimensional</t>
  </si>
  <si>
    <t>DenseAxisArray{Float64,1,...}</t>
  </si>
  <si>
    <t>with</t>
  </si>
  <si>
    <t>index</t>
  </si>
  <si>
    <t>sets:</t>
  </si>
  <si>
    <t>Dimension</t>
  </si>
  <si>
    <t>1,</t>
  </si>
  <si>
    <t>And</t>
  </si>
  <si>
    <t>data,</t>
  </si>
  <si>
    <t>a</t>
  </si>
  <si>
    <t>4-element</t>
  </si>
  <si>
    <t>Vector{Float64}:</t>
  </si>
  <si>
    <t>value.(cm_model.ext[:expressions][:demand])</t>
  </si>
  <si>
    <t>2-dimensional</t>
  </si>
  <si>
    <t>DenseAxisArray{Float64,2,...}</t>
  </si>
  <si>
    <t>2,</t>
  </si>
  <si>
    <t>Matrix{Float64}:</t>
  </si>
  <si>
    <t>value.(NM.ext[:variables][:s])</t>
  </si>
  <si>
    <t>renewables</t>
  </si>
  <si>
    <t>inelastic demand at 4000 euros/MWh</t>
  </si>
  <si>
    <t>inelastic demand at 4000 euros/MWh = 0.96*D</t>
  </si>
  <si>
    <t>Residual demand(deducting renewable contribution)</t>
  </si>
  <si>
    <t>Own Peak</t>
  </si>
  <si>
    <t>inelastic demand during coincident peak - renewable contribution</t>
  </si>
  <si>
    <t>Simplified reliability standard</t>
  </si>
  <si>
    <t>scarcity_A</t>
  </si>
  <si>
    <t>scarcity_B</t>
  </si>
  <si>
    <t>scarcity_C</t>
  </si>
  <si>
    <t>Deducting renewable contribution</t>
  </si>
  <si>
    <t>firm capacity demand in the system</t>
  </si>
  <si>
    <t>Reference</t>
  </si>
  <si>
    <t>Scarcity matrix</t>
  </si>
  <si>
    <t>residual demand matrix</t>
  </si>
  <si>
    <t>(inelastic) demand matrix during scarcity hours</t>
  </si>
  <si>
    <t>100.0%┣█████████████████████████████████████████████████████████████┫</t>
  </si>
  <si>
    <t>3×4</t>
  </si>
  <si>
    <t>proportion of sum of own peak demand</t>
  </si>
  <si>
    <t>using scarcity at C as reference</t>
  </si>
  <si>
    <t>Using proportions as reference</t>
  </si>
  <si>
    <r>
      <t>General</t>
    </r>
    <r>
      <rPr>
        <sz val="7"/>
        <color rgb="FFD4D4D4"/>
        <rFont val="Consolas"/>
        <family val="3"/>
      </rPr>
      <t xml:space="preserve">: </t>
    </r>
  </si>
  <si>
    <r>
      <t xml:space="preserve">  </t>
    </r>
    <r>
      <rPr>
        <sz val="7"/>
        <color rgb="FF569CD6"/>
        <rFont val="Consolas"/>
        <family val="3"/>
      </rPr>
      <t>nTimesteps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24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number of timesteps</t>
    </r>
  </si>
  <si>
    <r>
      <t xml:space="preserve">  </t>
    </r>
    <r>
      <rPr>
        <sz val="7"/>
        <color rgb="FF569CD6"/>
        <rFont val="Consolas"/>
        <family val="3"/>
      </rPr>
      <t>nReprDays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days</t>
    </r>
  </si>
  <si>
    <r>
      <t xml:space="preserve">  </t>
    </r>
    <r>
      <rPr>
        <sz val="7"/>
        <color rgb="FF569CD6"/>
        <rFont val="Consolas"/>
        <family val="3"/>
      </rPr>
      <t>nDays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365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days</t>
    </r>
  </si>
  <si>
    <r>
      <t xml:space="preserve">  </t>
    </r>
    <r>
      <rPr>
        <sz val="7"/>
        <color rgb="FF569CD6"/>
        <rFont val="Consolas"/>
        <family val="3"/>
      </rPr>
      <t>nYears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years</t>
    </r>
  </si>
  <si>
    <r>
      <t xml:space="preserve">  </t>
    </r>
    <r>
      <rPr>
        <sz val="7"/>
        <color rgb="FF569CD6"/>
        <rFont val="Consolas"/>
        <family val="3"/>
      </rPr>
      <t>sigmaCM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CM switch</t>
    </r>
  </si>
  <si>
    <r>
      <t>ADMM</t>
    </r>
    <r>
      <rPr>
        <sz val="7"/>
        <color rgb="FFD4D4D4"/>
        <rFont val="Consolas"/>
        <family val="3"/>
      </rPr>
      <t>:</t>
    </r>
  </si>
  <si>
    <r>
      <t xml:space="preserve">  </t>
    </r>
    <r>
      <rPr>
        <sz val="7"/>
        <color rgb="FF569CD6"/>
        <rFont val="Consolas"/>
        <family val="3"/>
      </rPr>
      <t>rho_EOM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1.2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rho ADMM penalty term, EOM</t>
    </r>
  </si>
  <si>
    <r>
      <t xml:space="preserve">  </t>
    </r>
    <r>
      <rPr>
        <sz val="7"/>
        <color rgb="FF569CD6"/>
        <rFont val="Consolas"/>
        <family val="3"/>
      </rPr>
      <t>rho_CM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rho ADMM penalty term, CM</t>
    </r>
  </si>
  <si>
    <r>
      <t xml:space="preserve">  </t>
    </r>
    <r>
      <rPr>
        <sz val="7"/>
        <color rgb="FF569CD6"/>
        <rFont val="Consolas"/>
        <family val="3"/>
      </rPr>
      <t>max_iter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10000</t>
    </r>
  </si>
  <si>
    <r>
      <t xml:space="preserve">  </t>
    </r>
    <r>
      <rPr>
        <sz val="7"/>
        <color rgb="FF569CD6"/>
        <rFont val="Consolas"/>
        <family val="3"/>
      </rPr>
      <t>CircularBufferSize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5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number of iterations for which data will be retained, should be at least 2 and less than max_iter</t>
    </r>
  </si>
  <si>
    <r>
      <t>EOM</t>
    </r>
    <r>
      <rPr>
        <sz val="7"/>
        <color rgb="FFD4D4D4"/>
        <rFont val="Consolas"/>
        <family val="3"/>
      </rPr>
      <t xml:space="preserve">: </t>
    </r>
  </si>
  <si>
    <r>
      <t xml:space="preserve">  </t>
    </r>
    <r>
      <rPr>
        <sz val="7"/>
        <color rgb="FF569CD6"/>
        <rFont val="Consolas"/>
        <family val="3"/>
      </rPr>
      <t>parameter_A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 xml:space="preserve"># dummy, not used </t>
    </r>
  </si>
  <si>
    <r>
      <t>Consumers</t>
    </r>
    <r>
      <rPr>
        <sz val="7"/>
        <color rgb="FFD4D4D4"/>
        <rFont val="Consolas"/>
        <family val="3"/>
      </rPr>
      <t xml:space="preserve">: </t>
    </r>
    <r>
      <rPr>
        <sz val="7"/>
        <color rgb="FF6A9955"/>
        <rFont val="Consolas"/>
        <family val="3"/>
      </rPr>
      <t># consumers by zones</t>
    </r>
  </si>
  <si>
    <r>
      <t xml:space="preserve">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>:</t>
    </r>
  </si>
  <si>
    <r>
      <t xml:space="preserve">    </t>
    </r>
    <r>
      <rPr>
        <sz val="7"/>
        <color rgb="FF569CD6"/>
        <rFont val="Consolas"/>
        <family val="3"/>
      </rPr>
      <t>WTP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4000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Max clearing price (€/MWh)</t>
    </r>
  </si>
  <si>
    <r>
      <t xml:space="preserve">    </t>
    </r>
    <r>
      <rPr>
        <sz val="7"/>
        <color rgb="FF569CD6"/>
        <rFont val="Consolas"/>
        <family val="3"/>
      </rPr>
      <t>D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"A"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Demand timeseries that needs to be picked up</t>
    </r>
  </si>
  <si>
    <r>
      <t xml:space="preserve">    </t>
    </r>
    <r>
      <rPr>
        <sz val="7"/>
        <color rgb="FF569CD6"/>
        <rFont val="Consolas"/>
        <family val="3"/>
      </rPr>
      <t>ela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0.04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fraction of demand that is elastic # 0.04 at WTP = 4000, 0.2 at WTP = 20000</t>
    </r>
  </si>
  <si>
    <r>
      <t xml:space="preserve">    </t>
    </r>
    <r>
      <rPr>
        <sz val="7"/>
        <color rgb="FF569CD6"/>
        <rFont val="Consolas"/>
        <family val="3"/>
      </rPr>
      <t>sigmaCM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</t>
    </r>
    <r>
      <rPr>
        <sz val="7"/>
        <color rgb="FFCE9178"/>
        <rFont val="Consolas"/>
        <family val="3"/>
      </rPr>
      <t xml:space="preserve"> </t>
    </r>
  </si>
  <si>
    <r>
      <t xml:space="preserve">    </t>
    </r>
    <r>
      <rPr>
        <sz val="7"/>
        <color rgb="FF569CD6"/>
        <rFont val="Consolas"/>
        <family val="3"/>
      </rPr>
      <t>NodeShare</t>
    </r>
    <r>
      <rPr>
        <sz val="7"/>
        <color rgb="FFD4D4D4"/>
        <rFont val="Consolas"/>
        <family val="3"/>
      </rPr>
      <t>:</t>
    </r>
  </si>
  <si>
    <r>
      <t xml:space="preserve">      </t>
    </r>
    <r>
      <rPr>
        <sz val="7"/>
        <color rgb="FF569CD6"/>
        <rFont val="Consolas"/>
        <family val="3"/>
      </rPr>
      <t>n1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0.5</t>
    </r>
  </si>
  <si>
    <r>
      <t xml:space="preserve">      </t>
    </r>
    <r>
      <rPr>
        <sz val="7"/>
        <color rgb="FF569CD6"/>
        <rFont val="Consolas"/>
        <family val="3"/>
      </rPr>
      <t>n2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0.5</t>
    </r>
  </si>
  <si>
    <r>
      <t xml:space="preserve">  </t>
    </r>
    <r>
      <rPr>
        <sz val="7"/>
        <color rgb="FF569CD6"/>
        <rFont val="Consolas"/>
        <family val="3"/>
      </rPr>
      <t>B</t>
    </r>
    <r>
      <rPr>
        <sz val="7"/>
        <color rgb="FFD4D4D4"/>
        <rFont val="Consolas"/>
        <family val="3"/>
      </rPr>
      <t>:</t>
    </r>
  </si>
  <si>
    <r>
      <t xml:space="preserve">    </t>
    </r>
    <r>
      <rPr>
        <sz val="7"/>
        <color rgb="FF569CD6"/>
        <rFont val="Consolas"/>
        <family val="3"/>
      </rPr>
      <t>WTP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4000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#4000.0 # Max clearing price (€/MWh)</t>
    </r>
  </si>
  <si>
    <r>
      <t xml:space="preserve">    </t>
    </r>
    <r>
      <rPr>
        <sz val="7"/>
        <color rgb="FF569CD6"/>
        <rFont val="Consolas"/>
        <family val="3"/>
      </rPr>
      <t>D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"B"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Timeseries that needs to be picked up</t>
    </r>
  </si>
  <si>
    <r>
      <t xml:space="preserve">    </t>
    </r>
    <r>
      <rPr>
        <sz val="7"/>
        <color rgb="FF569CD6"/>
        <rFont val="Consolas"/>
        <family val="3"/>
      </rPr>
      <t>ela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0.04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fraction of demand that is elastic</t>
    </r>
  </si>
  <si>
    <r>
      <t xml:space="preserve">    </t>
    </r>
    <r>
      <rPr>
        <sz val="7"/>
        <color rgb="FF569CD6"/>
        <rFont val="Consolas"/>
        <family val="3"/>
      </rPr>
      <t>sigmaCM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</t>
    </r>
  </si>
  <si>
    <r>
      <t xml:space="preserve">        </t>
    </r>
    <r>
      <rPr>
        <sz val="7"/>
        <color rgb="FF569CD6"/>
        <rFont val="Consolas"/>
        <family val="3"/>
      </rPr>
      <t>n3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1.0</t>
    </r>
  </si>
  <si>
    <r>
      <t xml:space="preserve">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>:</t>
    </r>
  </si>
  <si>
    <r>
      <t xml:space="preserve">    </t>
    </r>
    <r>
      <rPr>
        <sz val="7"/>
        <color rgb="FF569CD6"/>
        <rFont val="Consolas"/>
        <family val="3"/>
      </rPr>
      <t>D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"C"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Timeseries that needs to be picked up</t>
    </r>
  </si>
  <si>
    <r>
      <t xml:space="preserve">        </t>
    </r>
    <r>
      <rPr>
        <sz val="7"/>
        <color rgb="FF569CD6"/>
        <rFont val="Consolas"/>
        <family val="3"/>
      </rPr>
      <t>n4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1.0</t>
    </r>
  </si>
  <si>
    <r>
      <t>Generators</t>
    </r>
    <r>
      <rPr>
        <sz val="7"/>
        <color rgb="FFD4D4D4"/>
        <rFont val="Consolas"/>
        <family val="3"/>
      </rPr>
      <t xml:space="preserve">: </t>
    </r>
  </si>
  <si>
    <r>
      <t xml:space="preserve">  </t>
    </r>
    <r>
      <rPr>
        <sz val="7"/>
        <color rgb="FF6A9955"/>
        <rFont val="Consolas"/>
        <family val="3"/>
      </rPr>
      <t># OPEX are parametrized as a/2 x g^2 + b x g</t>
    </r>
  </si>
  <si>
    <r>
      <t xml:space="preserve">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 xml:space="preserve">: </t>
    </r>
  </si>
  <si>
    <r>
      <t xml:space="preserve">    </t>
    </r>
    <r>
      <rPr>
        <sz val="7"/>
        <color rgb="FF569CD6"/>
        <rFont val="Consolas"/>
        <family val="3"/>
      </rPr>
      <t>Baseload</t>
    </r>
    <r>
      <rPr>
        <sz val="7"/>
        <color rgb="FFD4D4D4"/>
        <rFont val="Consolas"/>
        <family val="3"/>
      </rPr>
      <t>:</t>
    </r>
  </si>
  <si>
    <r>
      <t xml:space="preserve">    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0.008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(€/MWh)^2</t>
    </r>
  </si>
  <si>
    <r>
      <t xml:space="preserve">      </t>
    </r>
    <r>
      <rPr>
        <sz val="7"/>
        <color rgb="FF569CD6"/>
        <rFont val="Consolas"/>
        <family val="3"/>
      </rPr>
      <t>b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20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€/MWh</t>
    </r>
  </si>
  <si>
    <r>
      <t xml:space="preserve">  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 - existing capacity (set to zero if greenfield)</t>
    </r>
  </si>
  <si>
    <r>
      <t xml:space="preserve">      </t>
    </r>
    <r>
      <rPr>
        <sz val="7"/>
        <color rgb="FF569CD6"/>
        <rFont val="Consolas"/>
        <family val="3"/>
      </rPr>
      <t>I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190000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€/MW-year - annualized investment cost</t>
    </r>
  </si>
  <si>
    <r>
      <t xml:space="preserve">      </t>
    </r>
    <r>
      <rPr>
        <sz val="7"/>
        <color rgb="FF569CD6"/>
        <rFont val="Consolas"/>
        <family val="3"/>
      </rPr>
      <t>max_cap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100000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 - maximum capacity</t>
    </r>
  </si>
  <si>
    <r>
      <t xml:space="preserve">      </t>
    </r>
    <r>
      <rPr>
        <sz val="7"/>
        <color rgb="FF569CD6"/>
        <rFont val="Consolas"/>
        <family val="3"/>
      </rPr>
      <t>sigmaCM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</t>
    </r>
  </si>
  <si>
    <r>
      <t xml:space="preserve">      </t>
    </r>
    <r>
      <rPr>
        <sz val="7"/>
        <color rgb="FF569CD6"/>
        <rFont val="Consolas"/>
        <family val="3"/>
      </rPr>
      <t>DF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1.0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derating factor</t>
    </r>
  </si>
  <si>
    <r>
      <t xml:space="preserve">      </t>
    </r>
    <r>
      <rPr>
        <sz val="7"/>
        <color rgb="FF569CD6"/>
        <rFont val="Consolas"/>
        <family val="3"/>
      </rPr>
      <t>NodeShare</t>
    </r>
    <r>
      <rPr>
        <sz val="7"/>
        <color rgb="FFD4D4D4"/>
        <rFont val="Consolas"/>
        <family val="3"/>
      </rPr>
      <t>:</t>
    </r>
  </si>
  <si>
    <r>
      <t xml:space="preserve">          </t>
    </r>
    <r>
      <rPr>
        <sz val="7"/>
        <color rgb="FF569CD6"/>
        <rFont val="Consolas"/>
        <family val="3"/>
      </rPr>
      <t>n1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0.5</t>
    </r>
  </si>
  <si>
    <r>
      <t xml:space="preserve">          </t>
    </r>
    <r>
      <rPr>
        <sz val="7"/>
        <color rgb="FF569CD6"/>
        <rFont val="Consolas"/>
        <family val="3"/>
      </rPr>
      <t>n2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0.5</t>
    </r>
  </si>
  <si>
    <r>
      <t xml:space="preserve">    </t>
    </r>
    <r>
      <rPr>
        <sz val="7"/>
        <color rgb="FF569CD6"/>
        <rFont val="Consolas"/>
        <family val="3"/>
      </rPr>
      <t>MidMerit</t>
    </r>
    <r>
      <rPr>
        <sz val="7"/>
        <color rgb="FFD4D4D4"/>
        <rFont val="Consolas"/>
        <family val="3"/>
      </rPr>
      <t>:</t>
    </r>
  </si>
  <si>
    <r>
      <t xml:space="preserve">    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0.032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(€/MWh)^2</t>
    </r>
  </si>
  <si>
    <r>
      <t xml:space="preserve">      </t>
    </r>
    <r>
      <rPr>
        <sz val="7"/>
        <color rgb="FF569CD6"/>
        <rFont val="Consolas"/>
        <family val="3"/>
      </rPr>
      <t>b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55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€/MWh</t>
    </r>
  </si>
  <si>
    <r>
      <t xml:space="preserve">      </t>
    </r>
    <r>
      <rPr>
        <sz val="7"/>
        <color rgb="FF569CD6"/>
        <rFont val="Consolas"/>
        <family val="3"/>
      </rPr>
      <t>I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110000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€/MW-year - annualized investment cost</t>
    </r>
  </si>
  <si>
    <r>
      <t xml:space="preserve">    </t>
    </r>
    <r>
      <rPr>
        <sz val="7"/>
        <color rgb="FF569CD6"/>
        <rFont val="Consolas"/>
        <family val="3"/>
      </rPr>
      <t>Peak</t>
    </r>
    <r>
      <rPr>
        <sz val="7"/>
        <color rgb="FFD4D4D4"/>
        <rFont val="Consolas"/>
        <family val="3"/>
      </rPr>
      <t>:</t>
    </r>
  </si>
  <si>
    <r>
      <t xml:space="preserve">    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0.04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(€/MWh)^2</t>
    </r>
  </si>
  <si>
    <r>
      <t xml:space="preserve">      </t>
    </r>
    <r>
      <rPr>
        <sz val="7"/>
        <color rgb="FF569CD6"/>
        <rFont val="Consolas"/>
        <family val="3"/>
      </rPr>
      <t>b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€/MWh</t>
    </r>
  </si>
  <si>
    <r>
      <t xml:space="preserve">      </t>
    </r>
    <r>
      <rPr>
        <sz val="7"/>
        <color rgb="FF569CD6"/>
        <rFont val="Consolas"/>
        <family val="3"/>
      </rPr>
      <t>I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60000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€/MW-year - annualized investment cost</t>
    </r>
  </si>
  <si>
    <r>
      <t xml:space="preserve">    </t>
    </r>
    <r>
      <rPr>
        <sz val="7"/>
        <color rgb="FF569CD6"/>
        <rFont val="Consolas"/>
        <family val="3"/>
      </rPr>
      <t>WindOnshore</t>
    </r>
    <r>
      <rPr>
        <sz val="7"/>
        <color rgb="FFD4D4D4"/>
        <rFont val="Consolas"/>
        <family val="3"/>
      </rPr>
      <t>:</t>
    </r>
  </si>
  <si>
    <r>
      <t xml:space="preserve">    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(€/MWh)^2</t>
    </r>
  </si>
  <si>
    <r>
      <t xml:space="preserve">      </t>
    </r>
    <r>
      <rPr>
        <sz val="7"/>
        <color rgb="FF569CD6"/>
        <rFont val="Consolas"/>
        <family val="3"/>
      </rPr>
      <t>b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€/MWh</t>
    </r>
  </si>
  <si>
    <r>
      <t xml:space="preserve">  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13700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</t>
    </r>
  </si>
  <si>
    <r>
      <t xml:space="preserve">      </t>
    </r>
    <r>
      <rPr>
        <sz val="7"/>
        <color rgb="FF569CD6"/>
        <rFont val="Consolas"/>
        <family val="3"/>
      </rPr>
      <t>I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300000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€/MW-year - annualized investment cost</t>
    </r>
  </si>
  <si>
    <r>
      <t xml:space="preserve">      </t>
    </r>
    <r>
      <rPr>
        <sz val="7"/>
        <color rgb="FF569CD6"/>
        <rFont val="Consolas"/>
        <family val="3"/>
      </rPr>
      <t>max_cap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13700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 - maximum capacity</t>
    </r>
  </si>
  <si>
    <r>
      <t xml:space="preserve">      </t>
    </r>
    <r>
      <rPr>
        <sz val="7"/>
        <color rgb="FF569CD6"/>
        <rFont val="Consolas"/>
        <family val="3"/>
      </rPr>
      <t>AF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"A"</t>
    </r>
  </si>
  <si>
    <r>
      <t xml:space="preserve">      </t>
    </r>
    <r>
      <rPr>
        <sz val="7"/>
        <color rgb="FF569CD6"/>
        <rFont val="Consolas"/>
        <family val="3"/>
      </rPr>
      <t>sigmaCM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</t>
    </r>
  </si>
  <si>
    <r>
      <t xml:space="preserve">      </t>
    </r>
    <r>
      <rPr>
        <sz val="7"/>
        <color rgb="FF569CD6"/>
        <rFont val="Consolas"/>
        <family val="3"/>
      </rPr>
      <t>DF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derating factor</t>
    </r>
  </si>
  <si>
    <r>
      <t xml:space="preserve">    </t>
    </r>
    <r>
      <rPr>
        <sz val="7"/>
        <color rgb="FF569CD6"/>
        <rFont val="Consolas"/>
        <family val="3"/>
      </rPr>
      <t>PV</t>
    </r>
    <r>
      <rPr>
        <sz val="7"/>
        <color rgb="FFD4D4D4"/>
        <rFont val="Consolas"/>
        <family val="3"/>
      </rPr>
      <t>:</t>
    </r>
  </si>
  <si>
    <r>
      <t xml:space="preserve">  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15403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</t>
    </r>
  </si>
  <si>
    <r>
      <t xml:space="preserve">      </t>
    </r>
    <r>
      <rPr>
        <sz val="7"/>
        <color rgb="FF569CD6"/>
        <rFont val="Consolas"/>
        <family val="3"/>
      </rPr>
      <t>I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300000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k€/MW-year - annualized investment cost</t>
    </r>
  </si>
  <si>
    <r>
      <t xml:space="preserve">      </t>
    </r>
    <r>
      <rPr>
        <sz val="7"/>
        <color rgb="FF569CD6"/>
        <rFont val="Consolas"/>
        <family val="3"/>
      </rPr>
      <t>max_cap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15403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 - maximum capacity</t>
    </r>
  </si>
  <si>
    <r>
      <t xml:space="preserve">      </t>
    </r>
    <r>
      <rPr>
        <sz val="7"/>
        <color rgb="FF569CD6"/>
        <rFont val="Consolas"/>
        <family val="3"/>
      </rPr>
      <t>I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190000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€/MW-year - annualized investment cost (convert to €/MW-year?)</t>
    </r>
  </si>
  <si>
    <r>
      <t xml:space="preserve">          </t>
    </r>
    <r>
      <rPr>
        <sz val="7"/>
        <color rgb="FF569CD6"/>
        <rFont val="Consolas"/>
        <family val="3"/>
      </rPr>
      <t>n3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1.0</t>
    </r>
  </si>
  <si>
    <r>
      <t xml:space="preserve">    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0.06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(€/MWh)^2</t>
    </r>
  </si>
  <si>
    <r>
      <t xml:space="preserve">      </t>
    </r>
    <r>
      <rPr>
        <sz val="7"/>
        <color rgb="FF569CD6"/>
        <rFont val="Consolas"/>
        <family val="3"/>
      </rPr>
      <t>I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70000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€/MW-year - annualized investment cost</t>
    </r>
  </si>
  <si>
    <r>
      <t xml:space="preserve">  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5315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</t>
    </r>
  </si>
  <si>
    <r>
      <t xml:space="preserve">      </t>
    </r>
    <r>
      <rPr>
        <sz val="7"/>
        <color rgb="FF569CD6"/>
        <rFont val="Consolas"/>
        <family val="3"/>
      </rPr>
      <t>max_cap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5315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 - maximum capacity</t>
    </r>
  </si>
  <si>
    <r>
      <t xml:space="preserve">      </t>
    </r>
    <r>
      <rPr>
        <sz val="7"/>
        <color rgb="FF569CD6"/>
        <rFont val="Consolas"/>
        <family val="3"/>
      </rPr>
      <t>AF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"B"</t>
    </r>
  </si>
  <si>
    <r>
      <t xml:space="preserve">  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8788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</t>
    </r>
  </si>
  <si>
    <r>
      <t xml:space="preserve">      </t>
    </r>
    <r>
      <rPr>
        <sz val="7"/>
        <color rgb="FF569CD6"/>
        <rFont val="Consolas"/>
        <family val="3"/>
      </rPr>
      <t>max_cap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8788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 - maximum capacity</t>
    </r>
  </si>
  <si>
    <r>
      <t xml:space="preserve">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 xml:space="preserve">: </t>
    </r>
  </si>
  <si>
    <r>
      <t xml:space="preserve">          </t>
    </r>
    <r>
      <rPr>
        <sz val="7"/>
        <color rgb="FF569CD6"/>
        <rFont val="Consolas"/>
        <family val="3"/>
      </rPr>
      <t>n4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1.0</t>
    </r>
  </si>
  <si>
    <r>
      <t xml:space="preserve">    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0.08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(€/MWh)^2</t>
    </r>
  </si>
  <si>
    <r>
      <t xml:space="preserve">      </t>
    </r>
    <r>
      <rPr>
        <sz val="7"/>
        <color rgb="FF569CD6"/>
        <rFont val="Consolas"/>
        <family val="3"/>
      </rPr>
      <t>I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80000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€/MW-year - annualized investment cost</t>
    </r>
  </si>
  <si>
    <r>
      <t xml:space="preserve">  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8300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</t>
    </r>
  </si>
  <si>
    <r>
      <t xml:space="preserve">      </t>
    </r>
    <r>
      <rPr>
        <sz val="7"/>
        <color rgb="FF569CD6"/>
        <rFont val="Consolas"/>
        <family val="3"/>
      </rPr>
      <t>I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300000.2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€/MW-year - annualized investment cost</t>
    </r>
  </si>
  <si>
    <r>
      <t xml:space="preserve">      </t>
    </r>
    <r>
      <rPr>
        <sz val="7"/>
        <color rgb="FF569CD6"/>
        <rFont val="Consolas"/>
        <family val="3"/>
      </rPr>
      <t>max_cap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8300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 - maximum capacity</t>
    </r>
  </si>
  <si>
    <r>
      <t xml:space="preserve">      </t>
    </r>
    <r>
      <rPr>
        <sz val="7"/>
        <color rgb="FF569CD6"/>
        <rFont val="Consolas"/>
        <family val="3"/>
      </rPr>
      <t>AF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"C"</t>
    </r>
  </si>
  <si>
    <r>
      <t xml:space="preserve">  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18662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</t>
    </r>
  </si>
  <si>
    <r>
      <t xml:space="preserve">      </t>
    </r>
    <r>
      <rPr>
        <sz val="7"/>
        <color rgb="FF569CD6"/>
        <rFont val="Consolas"/>
        <family val="3"/>
      </rPr>
      <t>max_cap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18662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MW - maximum capacity</t>
    </r>
  </si>
  <si>
    <r>
      <t>CM</t>
    </r>
    <r>
      <rPr>
        <sz val="7"/>
        <color rgb="FFD4D4D4"/>
        <rFont val="Consolas"/>
        <family val="3"/>
      </rPr>
      <t>:</t>
    </r>
  </si>
  <si>
    <r>
      <t xml:space="preserve">    </t>
    </r>
    <r>
      <rPr>
        <sz val="7"/>
        <color rgb="FF6A9955"/>
        <rFont val="Consolas"/>
        <family val="3"/>
      </rPr>
      <t># explicit/implicit/capacity target for zone A</t>
    </r>
  </si>
  <si>
    <r>
      <t xml:space="preserve">    </t>
    </r>
    <r>
      <rPr>
        <sz val="7"/>
        <color rgb="FF569CD6"/>
        <rFont val="Consolas"/>
        <family val="3"/>
      </rPr>
      <t>price_target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60000</t>
    </r>
    <r>
      <rPr>
        <sz val="7"/>
        <color rgb="FFD4D4D4"/>
        <rFont val="Consolas"/>
        <family val="3"/>
      </rPr>
      <t xml:space="preserve">    </t>
    </r>
    <r>
      <rPr>
        <sz val="7"/>
        <color rgb="FF6A9955"/>
        <rFont val="Consolas"/>
        <family val="3"/>
      </rPr>
      <t># €/MW (price target for zone A - CONE)</t>
    </r>
  </si>
  <si>
    <r>
      <t xml:space="preserve">    </t>
    </r>
    <r>
      <rPr>
        <sz val="7"/>
        <color rgb="FF569CD6"/>
        <rFont val="Consolas"/>
        <family val="3"/>
      </rPr>
      <t>capacity_margin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0.001</t>
    </r>
    <r>
      <rPr>
        <sz val="7"/>
        <color rgb="FFD4D4D4"/>
        <rFont val="Consolas"/>
        <family val="3"/>
      </rPr>
      <t xml:space="preserve">     </t>
    </r>
    <r>
      <rPr>
        <sz val="7"/>
        <color rgb="FF6A9955"/>
        <rFont val="Consolas"/>
        <family val="3"/>
      </rPr>
      <t># 0.1% capacity margin</t>
    </r>
  </si>
  <si>
    <r>
      <t xml:space="preserve">    </t>
    </r>
    <r>
      <rPr>
        <sz val="7"/>
        <color rgb="FF569CD6"/>
        <rFont val="Consolas"/>
        <family val="3"/>
      </rPr>
      <t>min_price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-10000000</t>
    </r>
  </si>
  <si>
    <r>
      <t xml:space="preserve">    </t>
    </r>
    <r>
      <rPr>
        <sz val="7"/>
        <color rgb="FF569CD6"/>
        <rFont val="Consolas"/>
        <family val="3"/>
      </rPr>
      <t>max_price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10000000</t>
    </r>
  </si>
  <si>
    <r>
      <t xml:space="preserve">    </t>
    </r>
    <r>
      <rPr>
        <sz val="7"/>
        <color rgb="FF569CD6"/>
        <rFont val="Consolas"/>
        <family val="3"/>
      </rPr>
      <t>D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"A"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</t>
    </r>
  </si>
  <si>
    <r>
      <t xml:space="preserve">    </t>
    </r>
    <r>
      <rPr>
        <sz val="7"/>
        <color rgb="FF569CD6"/>
        <rFont val="Consolas"/>
        <family val="3"/>
      </rPr>
      <t>price_target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70000</t>
    </r>
  </si>
  <si>
    <r>
      <t xml:space="preserve">    </t>
    </r>
    <r>
      <rPr>
        <sz val="7"/>
        <color rgb="FF569CD6"/>
        <rFont val="Consolas"/>
        <family val="3"/>
      </rPr>
      <t>capacity_margin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0.001</t>
    </r>
  </si>
  <si>
    <r>
      <t xml:space="preserve">    </t>
    </r>
    <r>
      <rPr>
        <sz val="7"/>
        <color rgb="FF569CD6"/>
        <rFont val="Consolas"/>
        <family val="3"/>
      </rPr>
      <t>D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"B"</t>
    </r>
  </si>
  <si>
    <r>
      <t xml:space="preserve">    </t>
    </r>
    <r>
      <rPr>
        <sz val="7"/>
        <color rgb="FF569CD6"/>
        <rFont val="Consolas"/>
        <family val="3"/>
      </rPr>
      <t>price_target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80000</t>
    </r>
  </si>
  <si>
    <r>
      <t xml:space="preserve">    </t>
    </r>
    <r>
      <rPr>
        <sz val="7"/>
        <color rgb="FF569CD6"/>
        <rFont val="Consolas"/>
        <family val="3"/>
      </rPr>
      <t>D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"C"</t>
    </r>
  </si>
  <si>
    <r>
      <t>Network</t>
    </r>
    <r>
      <rPr>
        <sz val="7"/>
        <color rgb="FFD4D4D4"/>
        <rFont val="Consolas"/>
        <family val="3"/>
      </rPr>
      <t>:</t>
    </r>
  </si>
  <si>
    <r>
      <t xml:space="preserve">  </t>
    </r>
    <r>
      <rPr>
        <sz val="7"/>
        <color rgb="FF569CD6"/>
        <rFont val="Consolas"/>
        <family val="3"/>
      </rPr>
      <t>ZoneMap</t>
    </r>
    <r>
      <rPr>
        <sz val="7"/>
        <color rgb="FFD4D4D4"/>
        <rFont val="Consolas"/>
        <family val="3"/>
      </rPr>
      <t>:</t>
    </r>
  </si>
  <si>
    <r>
      <t xml:space="preserve">  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>: [</t>
    </r>
    <r>
      <rPr>
        <sz val="7"/>
        <color rgb="FFCE9178"/>
        <rFont val="Consolas"/>
        <family val="3"/>
      </rPr>
      <t>n1</t>
    </r>
    <r>
      <rPr>
        <sz val="7"/>
        <color rgb="FFD4D4D4"/>
        <rFont val="Consolas"/>
        <family val="3"/>
      </rPr>
      <t xml:space="preserve">, </t>
    </r>
    <r>
      <rPr>
        <sz val="7"/>
        <color rgb="FFCE9178"/>
        <rFont val="Consolas"/>
        <family val="3"/>
      </rPr>
      <t>n2</t>
    </r>
    <r>
      <rPr>
        <sz val="7"/>
        <color rgb="FFD4D4D4"/>
        <rFont val="Consolas"/>
        <family val="3"/>
      </rPr>
      <t>]</t>
    </r>
  </si>
  <si>
    <r>
      <t xml:space="preserve">    </t>
    </r>
    <r>
      <rPr>
        <sz val="7"/>
        <color rgb="FF569CD6"/>
        <rFont val="Consolas"/>
        <family val="3"/>
      </rPr>
      <t>B</t>
    </r>
    <r>
      <rPr>
        <sz val="7"/>
        <color rgb="FFD4D4D4"/>
        <rFont val="Consolas"/>
        <family val="3"/>
      </rPr>
      <t>: [</t>
    </r>
    <r>
      <rPr>
        <sz val="7"/>
        <color rgb="FFCE9178"/>
        <rFont val="Consolas"/>
        <family val="3"/>
      </rPr>
      <t>n3</t>
    </r>
    <r>
      <rPr>
        <sz val="7"/>
        <color rgb="FFD4D4D4"/>
        <rFont val="Consolas"/>
        <family val="3"/>
      </rPr>
      <t>]</t>
    </r>
  </si>
  <si>
    <r>
      <t xml:space="preserve">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>: [</t>
    </r>
    <r>
      <rPr>
        <sz val="7"/>
        <color rgb="FFCE9178"/>
        <rFont val="Consolas"/>
        <family val="3"/>
      </rPr>
      <t>n4</t>
    </r>
    <r>
      <rPr>
        <sz val="7"/>
        <color rgb="FFD4D4D4"/>
        <rFont val="Consolas"/>
        <family val="3"/>
      </rPr>
      <t>]</t>
    </r>
  </si>
  <si>
    <r>
      <t xml:space="preserve">  </t>
    </r>
    <r>
      <rPr>
        <sz val="7"/>
        <color rgb="FF569CD6"/>
        <rFont val="Consolas"/>
        <family val="3"/>
      </rPr>
      <t>TCONNECT</t>
    </r>
    <r>
      <rPr>
        <sz val="7"/>
        <color rgb="FFD4D4D4"/>
        <rFont val="Consolas"/>
        <family val="3"/>
      </rPr>
      <t>:</t>
    </r>
  </si>
  <si>
    <r>
      <t>    - [</t>
    </r>
    <r>
      <rPr>
        <sz val="7"/>
        <color rgb="FFCE9178"/>
        <rFont val="Consolas"/>
        <family val="3"/>
      </rPr>
      <t>A</t>
    </r>
    <r>
      <rPr>
        <sz val="7"/>
        <color rgb="FFD4D4D4"/>
        <rFont val="Consolas"/>
        <family val="3"/>
      </rPr>
      <t xml:space="preserve">, </t>
    </r>
    <r>
      <rPr>
        <sz val="7"/>
        <color rgb="FFCE9178"/>
        <rFont val="Consolas"/>
        <family val="3"/>
      </rPr>
      <t>C</t>
    </r>
    <r>
      <rPr>
        <sz val="7"/>
        <color rgb="FFD4D4D4"/>
        <rFont val="Consolas"/>
        <family val="3"/>
      </rPr>
      <t>]</t>
    </r>
  </si>
  <si>
    <r>
      <t>    - [</t>
    </r>
    <r>
      <rPr>
        <sz val="7"/>
        <color rgb="FFCE9178"/>
        <rFont val="Consolas"/>
        <family val="3"/>
      </rPr>
      <t>C</t>
    </r>
    <r>
      <rPr>
        <sz val="7"/>
        <color rgb="FFD4D4D4"/>
        <rFont val="Consolas"/>
        <family val="3"/>
      </rPr>
      <t xml:space="preserve">, </t>
    </r>
    <r>
      <rPr>
        <sz val="7"/>
        <color rgb="FFCE9178"/>
        <rFont val="Consolas"/>
        <family val="3"/>
      </rPr>
      <t>B</t>
    </r>
    <r>
      <rPr>
        <sz val="7"/>
        <color rgb="FFD4D4D4"/>
        <rFont val="Consolas"/>
        <family val="3"/>
      </rPr>
      <t>]</t>
    </r>
  </si>
  <si>
    <r>
      <t>    - [</t>
    </r>
    <r>
      <rPr>
        <sz val="7"/>
        <color rgb="FFCE9178"/>
        <rFont val="Consolas"/>
        <family val="3"/>
      </rPr>
      <t>B</t>
    </r>
    <r>
      <rPr>
        <sz val="7"/>
        <color rgb="FFD4D4D4"/>
        <rFont val="Consolas"/>
        <family val="3"/>
      </rPr>
      <t xml:space="preserve">, </t>
    </r>
    <r>
      <rPr>
        <sz val="7"/>
        <color rgb="FFCE9178"/>
        <rFont val="Consolas"/>
        <family val="3"/>
      </rPr>
      <t>A</t>
    </r>
    <r>
      <rPr>
        <sz val="7"/>
        <color rgb="FFD4D4D4"/>
        <rFont val="Consolas"/>
        <family val="3"/>
      </rPr>
      <t>]</t>
    </r>
  </si>
  <si>
    <r>
      <t xml:space="preserve">  </t>
    </r>
    <r>
      <rPr>
        <sz val="7"/>
        <color rgb="FF569CD6"/>
        <rFont val="Consolas"/>
        <family val="3"/>
      </rPr>
      <t>ATC</t>
    </r>
    <r>
      <rPr>
        <sz val="7"/>
        <color rgb="FFD4D4D4"/>
        <rFont val="Consolas"/>
        <family val="3"/>
      </rPr>
      <t>:</t>
    </r>
  </si>
  <si>
    <r>
      <t xml:space="preserve">  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>:</t>
    </r>
  </si>
  <si>
    <r>
      <t xml:space="preserve">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>:</t>
    </r>
  </si>
  <si>
    <r>
      <t xml:space="preserve">    </t>
    </r>
    <r>
      <rPr>
        <sz val="7"/>
        <color rgb="FF569CD6"/>
        <rFont val="Consolas"/>
        <family val="3"/>
      </rPr>
      <t>B</t>
    </r>
    <r>
      <rPr>
        <sz val="7"/>
        <color rgb="FFD4D4D4"/>
        <rFont val="Consolas"/>
        <family val="3"/>
      </rPr>
      <t xml:space="preserve">: </t>
    </r>
  </si>
  <si>
    <r>
      <t xml:space="preserve">  </t>
    </r>
    <r>
      <rPr>
        <sz val="7"/>
        <color rgb="FF569CD6"/>
        <rFont val="Consolas"/>
        <family val="3"/>
      </rPr>
      <t>reserve_cost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10000000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€/MW-year</t>
    </r>
  </si>
  <si>
    <r>
      <t xml:space="preserve">  </t>
    </r>
    <r>
      <rPr>
        <sz val="7"/>
        <color rgb="FF569CD6"/>
        <rFont val="Consolas"/>
        <family val="3"/>
      </rPr>
      <t>nLines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4</t>
    </r>
  </si>
  <si>
    <r>
      <t xml:space="preserve">  </t>
    </r>
    <r>
      <rPr>
        <sz val="7"/>
        <color rgb="FF569CD6"/>
        <rFont val="Consolas"/>
        <family val="3"/>
      </rPr>
      <t>nScenarios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4</t>
    </r>
  </si>
  <si>
    <r>
      <t xml:space="preserve">  </t>
    </r>
    <r>
      <rPr>
        <sz val="7"/>
        <color rgb="FF569CD6"/>
        <rFont val="Consolas"/>
        <family val="3"/>
      </rPr>
      <t>lines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"lines"</t>
    </r>
    <r>
      <rPr>
        <sz val="7"/>
        <color rgb="FFD4D4D4"/>
        <rFont val="Consolas"/>
        <family val="3"/>
      </rPr>
      <t xml:space="preserve">  </t>
    </r>
    <r>
      <rPr>
        <sz val="7"/>
        <color rgb="FF6A9955"/>
        <rFont val="Consolas"/>
        <family val="3"/>
      </rPr>
      <t># lines dataframe</t>
    </r>
  </si>
  <si>
    <r>
      <t xml:space="preserve">  </t>
    </r>
    <r>
      <rPr>
        <sz val="7"/>
        <color rgb="FF569CD6"/>
        <rFont val="Consolas"/>
        <family val="3"/>
      </rPr>
      <t>ptdf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"ATC"</t>
    </r>
    <r>
      <rPr>
        <sz val="7"/>
        <color rgb="FFD4D4D4"/>
        <rFont val="Consolas"/>
        <family val="3"/>
      </rPr>
      <t xml:space="preserve">  </t>
    </r>
    <r>
      <rPr>
        <sz val="7"/>
        <color rgb="FF6A9955"/>
        <rFont val="Consolas"/>
        <family val="3"/>
      </rPr>
      <t># PTDF dataframe</t>
    </r>
  </si>
  <si>
    <r>
      <t xml:space="preserve">  </t>
    </r>
    <r>
      <rPr>
        <sz val="7"/>
        <color rgb="FF569CD6"/>
        <rFont val="Consolas"/>
        <family val="3"/>
      </rPr>
      <t>nodal_ptdf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"nodal_ptdf"</t>
    </r>
    <r>
      <rPr>
        <sz val="7"/>
        <color rgb="FFD4D4D4"/>
        <rFont val="Consolas"/>
        <family val="3"/>
      </rPr>
      <t xml:space="preserve">  </t>
    </r>
    <r>
      <rPr>
        <sz val="7"/>
        <color rgb="FF6A9955"/>
        <rFont val="Consolas"/>
        <family val="3"/>
      </rPr>
      <t># nodal PTDF dataframe</t>
    </r>
  </si>
  <si>
    <r>
      <t xml:space="preserve">  </t>
    </r>
    <r>
      <rPr>
        <sz val="7"/>
        <color rgb="FF6A9955"/>
        <rFont val="Consolas"/>
        <family val="3"/>
      </rPr>
      <t># IC_reserve: 500000 # €/MW-year higher than the highest fixed cost</t>
    </r>
  </si>
  <si>
    <r>
      <t xml:space="preserve">  </t>
    </r>
    <r>
      <rPr>
        <sz val="7"/>
        <color rgb="FF6A9955"/>
        <rFont val="Consolas"/>
        <family val="3"/>
      </rPr>
      <t># MC_reserve: 50000 # €/MWh higher than voll</t>
    </r>
  </si>
  <si>
    <r>
      <t xml:space="preserve">  </t>
    </r>
    <r>
      <rPr>
        <sz val="7"/>
        <color rgb="FF569CD6"/>
        <rFont val="Consolas"/>
        <family val="3"/>
      </rPr>
      <t>epsilon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0.1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0.1 # stopping criterion - tolerance on "accuracy" with which the coupling constraints are satisfied. Applied to dual and primal residuals.</t>
    </r>
  </si>
  <si>
    <r>
      <t xml:space="preserve">    </t>
    </r>
    <r>
      <rPr>
        <sz val="7"/>
        <color rgb="FF569CD6"/>
        <rFont val="Consolas"/>
        <family val="3"/>
      </rPr>
      <t>capacity_target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16870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"FB-D"/ "ATC"  - 15979 / "noCBP" - 16870 / "implicit" - 15979</t>
    </r>
  </si>
  <si>
    <r>
      <t xml:space="preserve">    </t>
    </r>
    <r>
      <rPr>
        <sz val="7"/>
        <color rgb="FF569CD6"/>
        <rFont val="Consolas"/>
        <family val="3"/>
      </rPr>
      <t>capacity_target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14829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"FB-D"/ "ATC" - 14045 / "noCBP" - 14829 / "implicit" - 14045</t>
    </r>
  </si>
  <si>
    <r>
      <t xml:space="preserve">    </t>
    </r>
    <r>
      <rPr>
        <sz val="7"/>
        <color rgb="FF569CD6"/>
        <rFont val="Consolas"/>
        <family val="3"/>
      </rPr>
      <t>capacity_target</t>
    </r>
    <r>
      <rPr>
        <sz val="7"/>
        <color rgb="FFD4D4D4"/>
        <rFont val="Consolas"/>
        <family val="3"/>
      </rPr>
      <t xml:space="preserve">: </t>
    </r>
    <r>
      <rPr>
        <sz val="7"/>
        <color rgb="FFB5CEA8"/>
        <rFont val="Consolas"/>
        <family val="3"/>
      </rPr>
      <t>16450</t>
    </r>
    <r>
      <rPr>
        <sz val="7"/>
        <color rgb="FFD4D4D4"/>
        <rFont val="Consolas"/>
        <family val="3"/>
      </rPr>
      <t xml:space="preserve"> </t>
    </r>
    <r>
      <rPr>
        <sz val="7"/>
        <color rgb="FF6A9955"/>
        <rFont val="Consolas"/>
        <family val="3"/>
      </rPr>
      <t># "FB-D"/ "ATC" - 15581 / "noCBP" - 16450 / "implicit" - 15581</t>
    </r>
  </si>
  <si>
    <r>
      <t xml:space="preserve">      </t>
    </r>
    <r>
      <rPr>
        <sz val="7"/>
        <color rgb="FF569CD6"/>
        <rFont val="Consolas"/>
        <family val="3"/>
      </rPr>
      <t>C</t>
    </r>
    <r>
      <rPr>
        <sz val="7"/>
        <color rgb="FFD4D4D4"/>
        <rFont val="Consolas"/>
        <family val="3"/>
      </rPr>
      <t>: [</t>
    </r>
    <r>
      <rPr>
        <sz val="7"/>
        <color rgb="FFB5CEA8"/>
        <rFont val="Consolas"/>
        <family val="3"/>
      </rPr>
      <t>2271</t>
    </r>
    <r>
      <rPr>
        <sz val="7"/>
        <color rgb="FFD4D4D4"/>
        <rFont val="Consolas"/>
        <family val="3"/>
      </rPr>
      <t xml:space="preserve">, </t>
    </r>
    <r>
      <rPr>
        <sz val="7"/>
        <color rgb="FFB5CEA8"/>
        <rFont val="Consolas"/>
        <family val="3"/>
      </rPr>
      <t>-2271</t>
    </r>
    <r>
      <rPr>
        <sz val="7"/>
        <color rgb="FFD4D4D4"/>
        <rFont val="Consolas"/>
        <family val="3"/>
      </rPr>
      <t>]  </t>
    </r>
    <r>
      <rPr>
        <sz val="7"/>
        <color rgb="FF6A9955"/>
        <rFont val="Consolas"/>
        <family val="3"/>
      </rPr>
      <t># [forward limit, backward limit]</t>
    </r>
  </si>
  <si>
    <r>
      <t xml:space="preserve">      </t>
    </r>
    <r>
      <rPr>
        <sz val="7"/>
        <color rgb="FF569CD6"/>
        <rFont val="Consolas"/>
        <family val="3"/>
      </rPr>
      <t>B</t>
    </r>
    <r>
      <rPr>
        <sz val="7"/>
        <color rgb="FFD4D4D4"/>
        <rFont val="Consolas"/>
        <family val="3"/>
      </rPr>
      <t>: [</t>
    </r>
    <r>
      <rPr>
        <sz val="7"/>
        <color rgb="FFB5CEA8"/>
        <rFont val="Consolas"/>
        <family val="3"/>
      </rPr>
      <t>2402</t>
    </r>
    <r>
      <rPr>
        <sz val="7"/>
        <color rgb="FFD4D4D4"/>
        <rFont val="Consolas"/>
        <family val="3"/>
      </rPr>
      <t xml:space="preserve">, </t>
    </r>
    <r>
      <rPr>
        <sz val="7"/>
        <color rgb="FFB5CEA8"/>
        <rFont val="Consolas"/>
        <family val="3"/>
      </rPr>
      <t>-2402</t>
    </r>
    <r>
      <rPr>
        <sz val="7"/>
        <color rgb="FFD4D4D4"/>
        <rFont val="Consolas"/>
        <family val="3"/>
      </rPr>
      <t>]</t>
    </r>
  </si>
  <si>
    <r>
      <t xml:space="preserve">      </t>
    </r>
    <r>
      <rPr>
        <sz val="7"/>
        <color rgb="FF569CD6"/>
        <rFont val="Consolas"/>
        <family val="3"/>
      </rPr>
      <t>A</t>
    </r>
    <r>
      <rPr>
        <sz val="7"/>
        <color rgb="FFD4D4D4"/>
        <rFont val="Consolas"/>
        <family val="3"/>
      </rPr>
      <t>: [</t>
    </r>
    <r>
      <rPr>
        <sz val="7"/>
        <color rgb="FFB5CEA8"/>
        <rFont val="Consolas"/>
        <family val="3"/>
      </rPr>
      <t>383</t>
    </r>
    <r>
      <rPr>
        <sz val="7"/>
        <color rgb="FFD4D4D4"/>
        <rFont val="Consolas"/>
        <family val="3"/>
      </rPr>
      <t xml:space="preserve">, </t>
    </r>
    <r>
      <rPr>
        <sz val="7"/>
        <color rgb="FFB5CEA8"/>
        <rFont val="Consolas"/>
        <family val="3"/>
      </rPr>
      <t>-33</t>
    </r>
    <r>
      <rPr>
        <sz val="7"/>
        <color rgb="FFD4D4D4"/>
        <rFont val="Consolas"/>
        <family val="3"/>
      </rPr>
      <t>]</t>
    </r>
  </si>
  <si>
    <r>
      <t xml:space="preserve">  </t>
    </r>
    <r>
      <rPr>
        <sz val="7"/>
        <color rgb="FF569CD6"/>
        <rFont val="Consolas"/>
        <family val="3"/>
      </rPr>
      <t>coupling</t>
    </r>
    <r>
      <rPr>
        <sz val="7"/>
        <color rgb="FFD4D4D4"/>
        <rFont val="Consolas"/>
        <family val="3"/>
      </rPr>
      <t xml:space="preserve">: </t>
    </r>
    <r>
      <rPr>
        <sz val="7"/>
        <color rgb="FFCE9178"/>
        <rFont val="Consolas"/>
        <family val="3"/>
      </rPr>
      <t>"noCBP"</t>
    </r>
    <r>
      <rPr>
        <sz val="7"/>
        <color rgb="FFD4D4D4"/>
        <rFont val="Consolas"/>
        <family val="3"/>
      </rPr>
      <t xml:space="preserve">  </t>
    </r>
    <r>
      <rPr>
        <sz val="7"/>
        <color rgb="FF6A9955"/>
        <rFont val="Consolas"/>
        <family val="3"/>
      </rPr>
      <t># "FB" / "ATC" / "noCBP" / "implicit" / "none"</t>
    </r>
  </si>
  <si>
    <t>Displacement</t>
  </si>
  <si>
    <t>EOM-ref</t>
  </si>
  <si>
    <t>EOM-cap</t>
  </si>
  <si>
    <t>0.012,</t>
  </si>
  <si>
    <t>0.100,</t>
  </si>
  <si>
    <t>0.000,</t>
  </si>
  <si>
    <t>100.0%┣████████████████████████████████████████████┫</t>
  </si>
  <si>
    <t>[00:28&lt;00:00,</t>
  </si>
  <si>
    <t>363it/s]</t>
  </si>
  <si>
    <t>0.017,</t>
  </si>
  <si>
    <t>[00:17&lt;00:00,</t>
  </si>
  <si>
    <t>593it/s]</t>
  </si>
  <si>
    <t>0.047,</t>
  </si>
  <si>
    <t>0.099,</t>
  </si>
  <si>
    <t>0.031,</t>
  </si>
  <si>
    <t>[00:13&lt;00:00,</t>
  </si>
  <si>
    <t>769it/s]</t>
  </si>
  <si>
    <t>CM-REF</t>
  </si>
  <si>
    <t>CM-ref</t>
  </si>
  <si>
    <t>0.084,</t>
  </si>
  <si>
    <t>0.038,</t>
  </si>
  <si>
    <t>0.092,</t>
  </si>
  <si>
    <t>[00:25&lt;00:00,</t>
  </si>
  <si>
    <t>400it/s]</t>
  </si>
  <si>
    <t>Implicit imports</t>
  </si>
  <si>
    <t>hour 12</t>
  </si>
  <si>
    <t>hour 19</t>
  </si>
  <si>
    <t>hour 18</t>
  </si>
  <si>
    <t>0.025,</t>
  </si>
  <si>
    <t>[00:20&lt;00:00,</t>
  </si>
  <si>
    <t>495it/s]</t>
  </si>
  <si>
    <t>[(2089.874999999417,</t>
  </si>
  <si>
    <t>-1969.3750000008918),</t>
  </si>
  <si>
    <t>(161.62499999954832,</t>
  </si>
  <si>
    <t>-282.12499999930196),</t>
  </si>
  <si>
    <t>(2061.1249999997412,</t>
  </si>
  <si>
    <t>-2181.6250000006576)]</t>
  </si>
  <si>
    <t>(2089.874999999417,</t>
  </si>
  <si>
    <t>-2181.6250000006576))</t>
  </si>
  <si>
    <t>[(2515.7501520572023,</t>
  </si>
  <si>
    <t>-2515.0834048360966),</t>
  </si>
  <si>
    <t>(336.08340483609663,</t>
  </si>
  <si>
    <t>-335.4162910494982),</t>
  </si>
  <si>
    <t>(2978.583708950502,</t>
  </si>
  <si>
    <t>-2979.2498479427977)]</t>
  </si>
  <si>
    <t>(2515.7501520572023,</t>
  </si>
  <si>
    <t>-2979.2498479427977))</t>
  </si>
  <si>
    <t>[(2783.3722222223337,</t>
  </si>
  <si>
    <t>-2625.094444444571),</t>
  </si>
  <si>
    <t>(364.90555555558933,</t>
  </si>
  <si>
    <t>-554.8388888888518),</t>
  </si>
  <si>
    <t>(2332.8388888891727,</t>
  </si>
  <si>
    <t>-2570.2555555556387)]</t>
  </si>
  <si>
    <t>(2783.3722222223337,</t>
  </si>
  <si>
    <t>-2570.2555555556387))</t>
  </si>
  <si>
    <t>CM-NTC</t>
  </si>
  <si>
    <t>##############################################################################################</t>
  </si>
  <si>
    <t>0.027,</t>
  </si>
  <si>
    <t>100.0%┣████████████████████████████████████████████████████████████████████████████┫</t>
  </si>
  <si>
    <t>[00:38&lt;00:00,</t>
  </si>
  <si>
    <t>261it/s]</t>
  </si>
  <si>
    <t>[(28.1251522782005,</t>
  </si>
  <si>
    <t>-28.62481980261247),</t>
  </si>
  <si>
    <t>(694.3751801973875,</t>
  </si>
  <si>
    <t>-693.8751243590133),</t>
  </si>
  <si>
    <t>(177.12487564098672,</t>
  </si>
  <si>
    <t>-177.6251522782004)]</t>
  </si>
  <si>
    <t>(28.1251522782005,</t>
  </si>
  <si>
    <t>-177.6251522782004))</t>
  </si>
  <si>
    <t>[(454.00000013185945,</t>
  </si>
  <si>
    <t>-574.3333333812743),</t>
  </si>
  <si>
    <t>(196.6666666187249,</t>
  </si>
  <si>
    <t>-76.33333329336244),</t>
  </si>
  <si>
    <t>(740.3333332454248,</t>
  </si>
  <si>
    <t>-619.9999999960119)]</t>
  </si>
  <si>
    <t>(454.00000013185945,</t>
  </si>
  <si>
    <t>-619.9999999960119))</t>
  </si>
  <si>
    <t>[(295.48888888888933,</t>
  </si>
  <si>
    <t>-17.17777777777592),</t>
  </si>
  <si>
    <t>(105.1777777777764,</t>
  </si>
  <si>
    <t>-355.3111111111088),</t>
  </si>
  <si>
    <t>(309.68888888888745,</t>
  </si>
  <si>
    <t>-101.24444444444366)]</t>
  </si>
  <si>
    <t>(295.48888888888933,</t>
  </si>
  <si>
    <t>-101.24444444444366))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</si>
</sst>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E373CE"/>
      <name val="Consolas"/>
      <family val="3"/>
    </font>
    <font>
      <i/>
      <sz val="7"/>
      <color rgb="FF5C6370"/>
      <name val="Consolas"/>
      <family val="3"/>
    </font>
    <font>
      <sz val="11"/>
      <color theme="9" tint="-0.249977111117893"/>
      <name val="Calibri"/>
      <family val="2"/>
      <scheme val="minor"/>
    </font>
    <font>
      <sz val="11"/>
      <color rgb="FFF8F8F0"/>
      <name val="Consolas"/>
      <family val="3"/>
    </font>
    <font>
      <i/>
      <sz val="11"/>
      <color rgb="FF5C6370"/>
      <name val="Consolas"/>
      <family val="3"/>
    </font>
    <font>
      <sz val="7"/>
      <color rgb="FF6A9955"/>
      <name val="Consolas"/>
      <family val="3"/>
    </font>
    <font>
      <sz val="7"/>
      <color rgb="FFB5CEA8"/>
      <name val="Consolas"/>
      <family val="3"/>
    </font>
    <font>
      <sz val="11"/>
      <color rgb="FFD4D4D4"/>
      <name val="Consolas"/>
      <family val="3"/>
    </font>
    <font>
      <sz val="11"/>
      <color rgb="FF569CD6"/>
      <name val="Consolas"/>
      <family val="3"/>
    </font>
    <font>
      <sz val="11"/>
      <color rgb="FFB5CEA8"/>
      <name val="Consolas"/>
      <family val="3"/>
    </font>
    <font>
      <sz val="11"/>
      <color rgb="FF6A9955"/>
      <name val="Consolas"/>
      <family val="3"/>
    </font>
    <font>
      <sz val="11"/>
      <color theme="1"/>
      <name val="Consolas"/>
      <family val="3"/>
    </font>
    <font>
      <sz val="11"/>
      <color theme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7"/>
      <color rgb="FFD4D4D4"/>
      <name val="Consolas"/>
      <family val="3"/>
    </font>
    <font>
      <sz val="7"/>
      <color rgb="FF569CD6"/>
      <name val="Consolas"/>
      <family val="3"/>
    </font>
    <font>
      <sz val="7"/>
      <color rgb="FFCE9178"/>
      <name val="Consolas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onsolas"/>
      <family val="3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16171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4" fillId="0" borderId="0" xfId="0" applyFont="1"/>
    <xf numFmtId="0" fontId="0" fillId="2" borderId="0" xfId="0" applyFill="1"/>
    <xf numFmtId="0" fontId="6" fillId="0" borderId="0" xfId="0" applyFont="1" applyAlignment="1">
      <alignment vertical="center"/>
    </xf>
    <xf numFmtId="0" fontId="1" fillId="2" borderId="0" xfId="0" applyFont="1" applyFill="1"/>
    <xf numFmtId="20" fontId="0" fillId="0" borderId="0" xfId="0" applyNumberFormat="1"/>
    <xf numFmtId="0" fontId="0" fillId="0" borderId="7" xfId="0" applyBorder="1"/>
    <xf numFmtId="0" fontId="0" fillId="0" borderId="8" xfId="0" applyBorder="1"/>
    <xf numFmtId="0" fontId="5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horizontal="center"/>
    </xf>
    <xf numFmtId="11" fontId="0" fillId="0" borderId="0" xfId="0" applyNumberForma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/>
    <xf numFmtId="4" fontId="0" fillId="0" borderId="0" xfId="0" applyNumberFormat="1"/>
    <xf numFmtId="4" fontId="13" fillId="0" borderId="0" xfId="0" applyNumberFormat="1" applyFont="1"/>
    <xf numFmtId="0" fontId="14" fillId="0" borderId="0" xfId="0" applyFont="1"/>
    <xf numFmtId="0" fontId="15" fillId="0" borderId="0" xfId="0" applyFont="1"/>
    <xf numFmtId="4" fontId="14" fillId="0" borderId="0" xfId="0" applyNumberFormat="1" applyFont="1"/>
    <xf numFmtId="4" fontId="16" fillId="0" borderId="0" xfId="0" applyNumberFormat="1" applyFont="1"/>
    <xf numFmtId="4" fontId="1" fillId="0" borderId="0" xfId="0" applyNumberFormat="1" applyFont="1"/>
    <xf numFmtId="0" fontId="0" fillId="0" borderId="0" xfId="0" applyAlignment="1">
      <alignment horizontal="right"/>
    </xf>
    <xf numFmtId="0" fontId="0" fillId="6" borderId="0" xfId="0" applyFill="1"/>
    <xf numFmtId="0" fontId="16" fillId="0" borderId="0" xfId="0" applyFont="1"/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1" fontId="0" fillId="0" borderId="8" xfId="0" applyNumberFormat="1" applyBorder="1"/>
    <xf numFmtId="0" fontId="0" fillId="8" borderId="0" xfId="0" applyFill="1"/>
    <xf numFmtId="0" fontId="21" fillId="0" borderId="0" xfId="0" applyFont="1"/>
    <xf numFmtId="0" fontId="20" fillId="0" borderId="0" xfId="0" applyFont="1"/>
    <xf numFmtId="0" fontId="22" fillId="0" borderId="0" xfId="0" applyFont="1"/>
    <xf numFmtId="0" fontId="23" fillId="0" borderId="0" xfId="0" applyFont="1"/>
    <xf numFmtId="0" fontId="1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D36E-A49C-4DB8-B1CC-EB0A80891A98}">
  <dimension ref="A1:B286"/>
  <sheetViews>
    <sheetView workbookViewId="0">
      <selection activeCell="E8" sqref="E8"/>
    </sheetView>
  </sheetViews>
  <sheetFormatPr defaultRowHeight="14.5" x14ac:dyDescent="0.35"/>
  <cols>
    <col min="1" max="1" width="20.54296875" customWidth="1"/>
    <col min="2" max="2" width="10.453125" customWidth="1"/>
  </cols>
  <sheetData>
    <row r="1" spans="1:2" x14ac:dyDescent="0.35">
      <c r="A1" s="36" t="s">
        <v>125</v>
      </c>
      <c r="B1" s="18"/>
    </row>
    <row r="2" spans="1:2" x14ac:dyDescent="0.35">
      <c r="A2" s="37" t="s">
        <v>126</v>
      </c>
    </row>
    <row r="3" spans="1:2" x14ac:dyDescent="0.35">
      <c r="A3" s="37" t="s">
        <v>127</v>
      </c>
    </row>
    <row r="4" spans="1:2" x14ac:dyDescent="0.35">
      <c r="A4" s="37" t="s">
        <v>128</v>
      </c>
    </row>
    <row r="5" spans="1:2" x14ac:dyDescent="0.35">
      <c r="A5" s="37" t="s">
        <v>129</v>
      </c>
    </row>
    <row r="6" spans="1:2" x14ac:dyDescent="0.35">
      <c r="A6" s="37" t="s">
        <v>130</v>
      </c>
    </row>
    <row r="7" spans="1:2" x14ac:dyDescent="0.35">
      <c r="A7" s="38"/>
    </row>
    <row r="8" spans="1:2" x14ac:dyDescent="0.35">
      <c r="A8" s="36" t="s">
        <v>131</v>
      </c>
    </row>
    <row r="9" spans="1:2" x14ac:dyDescent="0.35">
      <c r="A9" s="37" t="s">
        <v>132</v>
      </c>
    </row>
    <row r="10" spans="1:2" x14ac:dyDescent="0.35">
      <c r="A10" s="37" t="s">
        <v>133</v>
      </c>
    </row>
    <row r="11" spans="1:2" x14ac:dyDescent="0.35">
      <c r="A11" s="37" t="s">
        <v>134</v>
      </c>
    </row>
    <row r="12" spans="1:2" x14ac:dyDescent="0.35">
      <c r="A12" s="37" t="s">
        <v>243</v>
      </c>
    </row>
    <row r="13" spans="1:2" x14ac:dyDescent="0.35">
      <c r="A13" s="37" t="s">
        <v>135</v>
      </c>
    </row>
    <row r="14" spans="1:2" x14ac:dyDescent="0.35">
      <c r="A14" s="38"/>
    </row>
    <row r="15" spans="1:2" x14ac:dyDescent="0.35">
      <c r="A15" s="36" t="s">
        <v>136</v>
      </c>
    </row>
    <row r="16" spans="1:2" x14ac:dyDescent="0.35">
      <c r="A16" s="37" t="s">
        <v>137</v>
      </c>
    </row>
    <row r="17" spans="1:1" x14ac:dyDescent="0.35">
      <c r="A17" s="38"/>
    </row>
    <row r="18" spans="1:1" x14ac:dyDescent="0.35">
      <c r="A18" s="38"/>
    </row>
    <row r="19" spans="1:1" x14ac:dyDescent="0.35">
      <c r="A19" s="36" t="s">
        <v>138</v>
      </c>
    </row>
    <row r="20" spans="1:1" x14ac:dyDescent="0.35">
      <c r="A20" s="37" t="s">
        <v>139</v>
      </c>
    </row>
    <row r="21" spans="1:1" x14ac:dyDescent="0.35">
      <c r="A21" s="37" t="s">
        <v>140</v>
      </c>
    </row>
    <row r="22" spans="1:1" x14ac:dyDescent="0.35">
      <c r="A22" s="37" t="s">
        <v>141</v>
      </c>
    </row>
    <row r="23" spans="1:1" x14ac:dyDescent="0.35">
      <c r="A23" s="37" t="s">
        <v>142</v>
      </c>
    </row>
    <row r="24" spans="1:1" x14ac:dyDescent="0.35">
      <c r="A24" s="37" t="s">
        <v>143</v>
      </c>
    </row>
    <row r="25" spans="1:1" x14ac:dyDescent="0.35">
      <c r="A25" s="37" t="s">
        <v>144</v>
      </c>
    </row>
    <row r="26" spans="1:1" x14ac:dyDescent="0.35">
      <c r="A26" s="37" t="s">
        <v>145</v>
      </c>
    </row>
    <row r="27" spans="1:1" x14ac:dyDescent="0.35">
      <c r="A27" s="37" t="s">
        <v>146</v>
      </c>
    </row>
    <row r="28" spans="1:1" x14ac:dyDescent="0.35">
      <c r="A28" s="38"/>
    </row>
    <row r="29" spans="1:1" x14ac:dyDescent="0.35">
      <c r="A29" s="37" t="s">
        <v>147</v>
      </c>
    </row>
    <row r="30" spans="1:1" x14ac:dyDescent="0.35">
      <c r="A30" s="37" t="s">
        <v>148</v>
      </c>
    </row>
    <row r="31" spans="1:1" x14ac:dyDescent="0.35">
      <c r="A31" s="37" t="s">
        <v>149</v>
      </c>
    </row>
    <row r="32" spans="1:1" x14ac:dyDescent="0.35">
      <c r="A32" s="37" t="s">
        <v>150</v>
      </c>
    </row>
    <row r="33" spans="1:1" x14ac:dyDescent="0.35">
      <c r="A33" s="37" t="s">
        <v>151</v>
      </c>
    </row>
    <row r="34" spans="1:1" x14ac:dyDescent="0.35">
      <c r="A34" s="37" t="s">
        <v>144</v>
      </c>
    </row>
    <row r="35" spans="1:1" x14ac:dyDescent="0.35">
      <c r="A35" s="37" t="s">
        <v>152</v>
      </c>
    </row>
    <row r="36" spans="1:1" x14ac:dyDescent="0.35">
      <c r="A36" s="38"/>
    </row>
    <row r="37" spans="1:1" x14ac:dyDescent="0.35">
      <c r="A37" s="37" t="s">
        <v>153</v>
      </c>
    </row>
    <row r="38" spans="1:1" x14ac:dyDescent="0.35">
      <c r="A38" s="37" t="s">
        <v>148</v>
      </c>
    </row>
    <row r="39" spans="1:1" x14ac:dyDescent="0.35">
      <c r="A39" s="37" t="s">
        <v>154</v>
      </c>
    </row>
    <row r="40" spans="1:1" x14ac:dyDescent="0.35">
      <c r="A40" s="37" t="s">
        <v>150</v>
      </c>
    </row>
    <row r="41" spans="1:1" x14ac:dyDescent="0.35">
      <c r="A41" s="37" t="s">
        <v>151</v>
      </c>
    </row>
    <row r="42" spans="1:1" x14ac:dyDescent="0.35">
      <c r="A42" s="37" t="s">
        <v>144</v>
      </c>
    </row>
    <row r="43" spans="1:1" x14ac:dyDescent="0.35">
      <c r="A43" s="37" t="s">
        <v>155</v>
      </c>
    </row>
    <row r="44" spans="1:1" x14ac:dyDescent="0.35">
      <c r="A44" s="38"/>
    </row>
    <row r="45" spans="1:1" x14ac:dyDescent="0.35">
      <c r="A45" s="36" t="s">
        <v>156</v>
      </c>
    </row>
    <row r="46" spans="1:1" x14ac:dyDescent="0.35">
      <c r="A46" s="37" t="s">
        <v>157</v>
      </c>
    </row>
    <row r="47" spans="1:1" x14ac:dyDescent="0.35">
      <c r="A47" s="37" t="s">
        <v>158</v>
      </c>
    </row>
    <row r="48" spans="1:1" x14ac:dyDescent="0.35">
      <c r="A48" s="37" t="s">
        <v>159</v>
      </c>
    </row>
    <row r="49" spans="1:1" x14ac:dyDescent="0.35">
      <c r="A49" s="37" t="s">
        <v>160</v>
      </c>
    </row>
    <row r="50" spans="1:1" x14ac:dyDescent="0.35">
      <c r="A50" s="37" t="s">
        <v>161</v>
      </c>
    </row>
    <row r="51" spans="1:1" x14ac:dyDescent="0.35">
      <c r="A51" s="37" t="s">
        <v>162</v>
      </c>
    </row>
    <row r="52" spans="1:1" x14ac:dyDescent="0.35">
      <c r="A52" s="37" t="s">
        <v>163</v>
      </c>
    </row>
    <row r="53" spans="1:1" x14ac:dyDescent="0.35">
      <c r="A53" s="37" t="s">
        <v>164</v>
      </c>
    </row>
    <row r="54" spans="1:1" x14ac:dyDescent="0.35">
      <c r="A54" s="37" t="s">
        <v>165</v>
      </c>
    </row>
    <row r="55" spans="1:1" x14ac:dyDescent="0.35">
      <c r="A55" s="37" t="s">
        <v>166</v>
      </c>
    </row>
    <row r="56" spans="1:1" x14ac:dyDescent="0.35">
      <c r="A56" s="37" t="s">
        <v>167</v>
      </c>
    </row>
    <row r="57" spans="1:1" x14ac:dyDescent="0.35">
      <c r="A57" s="37" t="s">
        <v>168</v>
      </c>
    </row>
    <row r="58" spans="1:1" x14ac:dyDescent="0.35">
      <c r="A58" s="37" t="s">
        <v>169</v>
      </c>
    </row>
    <row r="59" spans="1:1" x14ac:dyDescent="0.35">
      <c r="A59" s="38"/>
    </row>
    <row r="60" spans="1:1" x14ac:dyDescent="0.35">
      <c r="A60" s="37" t="s">
        <v>170</v>
      </c>
    </row>
    <row r="61" spans="1:1" x14ac:dyDescent="0.35">
      <c r="A61" s="37" t="s">
        <v>171</v>
      </c>
    </row>
    <row r="62" spans="1:1" x14ac:dyDescent="0.35">
      <c r="A62" s="37" t="s">
        <v>172</v>
      </c>
    </row>
    <row r="63" spans="1:1" x14ac:dyDescent="0.35">
      <c r="A63" s="37" t="s">
        <v>162</v>
      </c>
    </row>
    <row r="64" spans="1:1" x14ac:dyDescent="0.35">
      <c r="A64" s="37" t="s">
        <v>173</v>
      </c>
    </row>
    <row r="65" spans="1:1" x14ac:dyDescent="0.35">
      <c r="A65" s="37" t="s">
        <v>164</v>
      </c>
    </row>
    <row r="66" spans="1:1" x14ac:dyDescent="0.35">
      <c r="A66" s="37" t="s">
        <v>165</v>
      </c>
    </row>
    <row r="67" spans="1:1" x14ac:dyDescent="0.35">
      <c r="A67" s="37" t="s">
        <v>166</v>
      </c>
    </row>
    <row r="68" spans="1:1" x14ac:dyDescent="0.35">
      <c r="A68" s="37" t="s">
        <v>167</v>
      </c>
    </row>
    <row r="69" spans="1:1" x14ac:dyDescent="0.35">
      <c r="A69" s="37" t="s">
        <v>168</v>
      </c>
    </row>
    <row r="70" spans="1:1" x14ac:dyDescent="0.35">
      <c r="A70" s="37" t="s">
        <v>169</v>
      </c>
    </row>
    <row r="71" spans="1:1" x14ac:dyDescent="0.35">
      <c r="A71" s="38"/>
    </row>
    <row r="72" spans="1:1" x14ac:dyDescent="0.35">
      <c r="A72" s="37" t="s">
        <v>174</v>
      </c>
    </row>
    <row r="73" spans="1:1" x14ac:dyDescent="0.35">
      <c r="A73" s="37" t="s">
        <v>175</v>
      </c>
    </row>
    <row r="74" spans="1:1" x14ac:dyDescent="0.35">
      <c r="A74" s="37" t="s">
        <v>176</v>
      </c>
    </row>
    <row r="75" spans="1:1" x14ac:dyDescent="0.35">
      <c r="A75" s="37" t="s">
        <v>162</v>
      </c>
    </row>
    <row r="76" spans="1:1" x14ac:dyDescent="0.35">
      <c r="A76" s="37" t="s">
        <v>177</v>
      </c>
    </row>
    <row r="77" spans="1:1" x14ac:dyDescent="0.35">
      <c r="A77" s="37" t="s">
        <v>164</v>
      </c>
    </row>
    <row r="78" spans="1:1" x14ac:dyDescent="0.35">
      <c r="A78" s="37" t="s">
        <v>165</v>
      </c>
    </row>
    <row r="79" spans="1:1" x14ac:dyDescent="0.35">
      <c r="A79" s="37" t="s">
        <v>166</v>
      </c>
    </row>
    <row r="80" spans="1:1" x14ac:dyDescent="0.35">
      <c r="A80" s="37" t="s">
        <v>167</v>
      </c>
    </row>
    <row r="81" spans="1:1" x14ac:dyDescent="0.35">
      <c r="A81" s="37" t="s">
        <v>168</v>
      </c>
    </row>
    <row r="82" spans="1:1" x14ac:dyDescent="0.35">
      <c r="A82" s="37" t="s">
        <v>169</v>
      </c>
    </row>
    <row r="83" spans="1:1" x14ac:dyDescent="0.35">
      <c r="A83" s="38"/>
    </row>
    <row r="84" spans="1:1" x14ac:dyDescent="0.35">
      <c r="A84" s="37" t="s">
        <v>178</v>
      </c>
    </row>
    <row r="85" spans="1:1" x14ac:dyDescent="0.35">
      <c r="A85" s="37" t="s">
        <v>179</v>
      </c>
    </row>
    <row r="86" spans="1:1" x14ac:dyDescent="0.35">
      <c r="A86" s="37" t="s">
        <v>180</v>
      </c>
    </row>
    <row r="87" spans="1:1" x14ac:dyDescent="0.35">
      <c r="A87" s="37" t="s">
        <v>181</v>
      </c>
    </row>
    <row r="88" spans="1:1" x14ac:dyDescent="0.35">
      <c r="A88" s="37" t="s">
        <v>182</v>
      </c>
    </row>
    <row r="89" spans="1:1" x14ac:dyDescent="0.35">
      <c r="A89" s="37" t="s">
        <v>183</v>
      </c>
    </row>
    <row r="90" spans="1:1" x14ac:dyDescent="0.35">
      <c r="A90" s="37" t="s">
        <v>184</v>
      </c>
    </row>
    <row r="91" spans="1:1" x14ac:dyDescent="0.35">
      <c r="A91" s="37" t="s">
        <v>185</v>
      </c>
    </row>
    <row r="92" spans="1:1" x14ac:dyDescent="0.35">
      <c r="A92" s="37" t="s">
        <v>186</v>
      </c>
    </row>
    <row r="93" spans="1:1" x14ac:dyDescent="0.35">
      <c r="A93" s="37" t="s">
        <v>167</v>
      </c>
    </row>
    <row r="94" spans="1:1" x14ac:dyDescent="0.35">
      <c r="A94" s="37" t="s">
        <v>168</v>
      </c>
    </row>
    <row r="95" spans="1:1" x14ac:dyDescent="0.35">
      <c r="A95" s="37" t="s">
        <v>169</v>
      </c>
    </row>
    <row r="96" spans="1:1" x14ac:dyDescent="0.35">
      <c r="A96" s="37" t="s">
        <v>187</v>
      </c>
    </row>
    <row r="97" spans="1:1" x14ac:dyDescent="0.35">
      <c r="A97" s="37" t="s">
        <v>179</v>
      </c>
    </row>
    <row r="98" spans="1:1" x14ac:dyDescent="0.35">
      <c r="A98" s="37" t="s">
        <v>180</v>
      </c>
    </row>
    <row r="99" spans="1:1" x14ac:dyDescent="0.35">
      <c r="A99" s="37" t="s">
        <v>188</v>
      </c>
    </row>
    <row r="100" spans="1:1" x14ac:dyDescent="0.35">
      <c r="A100" s="37" t="s">
        <v>189</v>
      </c>
    </row>
    <row r="101" spans="1:1" x14ac:dyDescent="0.35">
      <c r="A101" s="37" t="s">
        <v>190</v>
      </c>
    </row>
    <row r="102" spans="1:1" x14ac:dyDescent="0.35">
      <c r="A102" s="37" t="s">
        <v>184</v>
      </c>
    </row>
    <row r="103" spans="1:1" x14ac:dyDescent="0.35">
      <c r="A103" s="37" t="s">
        <v>185</v>
      </c>
    </row>
    <row r="104" spans="1:1" x14ac:dyDescent="0.35">
      <c r="A104" s="37" t="s">
        <v>186</v>
      </c>
    </row>
    <row r="105" spans="1:1" x14ac:dyDescent="0.35">
      <c r="A105" s="37" t="s">
        <v>167</v>
      </c>
    </row>
    <row r="106" spans="1:1" x14ac:dyDescent="0.35">
      <c r="A106" s="37" t="s">
        <v>168</v>
      </c>
    </row>
    <row r="107" spans="1:1" x14ac:dyDescent="0.35">
      <c r="A107" s="37" t="s">
        <v>169</v>
      </c>
    </row>
    <row r="108" spans="1:1" x14ac:dyDescent="0.35">
      <c r="A108" s="37" t="s">
        <v>147</v>
      </c>
    </row>
    <row r="109" spans="1:1" x14ac:dyDescent="0.35">
      <c r="A109" s="37" t="s">
        <v>159</v>
      </c>
    </row>
    <row r="110" spans="1:1" x14ac:dyDescent="0.35">
      <c r="A110" s="37" t="s">
        <v>160</v>
      </c>
    </row>
    <row r="111" spans="1:1" x14ac:dyDescent="0.35">
      <c r="A111" s="37" t="s">
        <v>161</v>
      </c>
    </row>
    <row r="112" spans="1:1" x14ac:dyDescent="0.35">
      <c r="A112" s="37" t="s">
        <v>162</v>
      </c>
    </row>
    <row r="113" spans="1:1" x14ac:dyDescent="0.35">
      <c r="A113" s="37" t="s">
        <v>191</v>
      </c>
    </row>
    <row r="114" spans="1:1" x14ac:dyDescent="0.35">
      <c r="A114" s="37" t="s">
        <v>164</v>
      </c>
    </row>
    <row r="115" spans="1:1" x14ac:dyDescent="0.35">
      <c r="A115" s="37" t="s">
        <v>165</v>
      </c>
    </row>
    <row r="116" spans="1:1" x14ac:dyDescent="0.35">
      <c r="A116" s="37" t="s">
        <v>166</v>
      </c>
    </row>
    <row r="117" spans="1:1" x14ac:dyDescent="0.35">
      <c r="A117" s="37" t="s">
        <v>167</v>
      </c>
    </row>
    <row r="118" spans="1:1" x14ac:dyDescent="0.35">
      <c r="A118" s="37" t="s">
        <v>192</v>
      </c>
    </row>
    <row r="119" spans="1:1" x14ac:dyDescent="0.35">
      <c r="A119" s="38"/>
    </row>
    <row r="120" spans="1:1" x14ac:dyDescent="0.35">
      <c r="A120" s="37" t="s">
        <v>170</v>
      </c>
    </row>
    <row r="121" spans="1:1" x14ac:dyDescent="0.35">
      <c r="A121" s="37" t="s">
        <v>171</v>
      </c>
    </row>
    <row r="122" spans="1:1" x14ac:dyDescent="0.35">
      <c r="A122" s="37" t="s">
        <v>172</v>
      </c>
    </row>
    <row r="123" spans="1:1" x14ac:dyDescent="0.35">
      <c r="A123" s="37" t="s">
        <v>162</v>
      </c>
    </row>
    <row r="124" spans="1:1" x14ac:dyDescent="0.35">
      <c r="A124" s="37" t="s">
        <v>173</v>
      </c>
    </row>
    <row r="125" spans="1:1" x14ac:dyDescent="0.35">
      <c r="A125" s="37" t="s">
        <v>164</v>
      </c>
    </row>
    <row r="126" spans="1:1" x14ac:dyDescent="0.35">
      <c r="A126" s="37" t="s">
        <v>165</v>
      </c>
    </row>
    <row r="127" spans="1:1" x14ac:dyDescent="0.35">
      <c r="A127" s="37" t="s">
        <v>166</v>
      </c>
    </row>
    <row r="128" spans="1:1" x14ac:dyDescent="0.35">
      <c r="A128" s="37" t="s">
        <v>167</v>
      </c>
    </row>
    <row r="129" spans="1:1" x14ac:dyDescent="0.35">
      <c r="A129" s="37" t="s">
        <v>192</v>
      </c>
    </row>
    <row r="130" spans="1:1" x14ac:dyDescent="0.35">
      <c r="A130" s="38"/>
    </row>
    <row r="131" spans="1:1" x14ac:dyDescent="0.35">
      <c r="A131" s="37" t="s">
        <v>174</v>
      </c>
    </row>
    <row r="132" spans="1:1" x14ac:dyDescent="0.35">
      <c r="A132" s="37" t="s">
        <v>193</v>
      </c>
    </row>
    <row r="133" spans="1:1" x14ac:dyDescent="0.35">
      <c r="A133" s="37" t="s">
        <v>176</v>
      </c>
    </row>
    <row r="134" spans="1:1" x14ac:dyDescent="0.35">
      <c r="A134" s="37" t="s">
        <v>162</v>
      </c>
    </row>
    <row r="135" spans="1:1" x14ac:dyDescent="0.35">
      <c r="A135" s="37" t="s">
        <v>194</v>
      </c>
    </row>
    <row r="136" spans="1:1" x14ac:dyDescent="0.35">
      <c r="A136" s="37" t="s">
        <v>164</v>
      </c>
    </row>
    <row r="137" spans="1:1" x14ac:dyDescent="0.35">
      <c r="A137" s="37" t="s">
        <v>165</v>
      </c>
    </row>
    <row r="138" spans="1:1" x14ac:dyDescent="0.35">
      <c r="A138" s="37" t="s">
        <v>166</v>
      </c>
    </row>
    <row r="139" spans="1:1" x14ac:dyDescent="0.35">
      <c r="A139" s="37" t="s">
        <v>167</v>
      </c>
    </row>
    <row r="140" spans="1:1" x14ac:dyDescent="0.35">
      <c r="A140" s="37" t="s">
        <v>192</v>
      </c>
    </row>
    <row r="141" spans="1:1" x14ac:dyDescent="0.35">
      <c r="A141" s="38"/>
    </row>
    <row r="142" spans="1:1" x14ac:dyDescent="0.35">
      <c r="A142" s="37" t="s">
        <v>178</v>
      </c>
    </row>
    <row r="143" spans="1:1" x14ac:dyDescent="0.35">
      <c r="A143" s="37" t="s">
        <v>179</v>
      </c>
    </row>
    <row r="144" spans="1:1" x14ac:dyDescent="0.35">
      <c r="A144" s="37" t="s">
        <v>180</v>
      </c>
    </row>
    <row r="145" spans="1:1" x14ac:dyDescent="0.35">
      <c r="A145" s="37" t="s">
        <v>195</v>
      </c>
    </row>
    <row r="146" spans="1:1" x14ac:dyDescent="0.35">
      <c r="A146" s="37" t="s">
        <v>182</v>
      </c>
    </row>
    <row r="147" spans="1:1" x14ac:dyDescent="0.35">
      <c r="A147" s="37" t="s">
        <v>196</v>
      </c>
    </row>
    <row r="148" spans="1:1" x14ac:dyDescent="0.35">
      <c r="A148" s="37" t="s">
        <v>197</v>
      </c>
    </row>
    <row r="149" spans="1:1" x14ac:dyDescent="0.35">
      <c r="A149" s="37" t="s">
        <v>185</v>
      </c>
    </row>
    <row r="150" spans="1:1" x14ac:dyDescent="0.35">
      <c r="A150" s="37" t="s">
        <v>186</v>
      </c>
    </row>
    <row r="151" spans="1:1" x14ac:dyDescent="0.35">
      <c r="A151" s="37" t="s">
        <v>167</v>
      </c>
    </row>
    <row r="152" spans="1:1" x14ac:dyDescent="0.35">
      <c r="A152" s="37" t="s">
        <v>192</v>
      </c>
    </row>
    <row r="153" spans="1:1" x14ac:dyDescent="0.35">
      <c r="A153" s="38"/>
    </row>
    <row r="154" spans="1:1" x14ac:dyDescent="0.35">
      <c r="A154" s="37" t="s">
        <v>187</v>
      </c>
    </row>
    <row r="155" spans="1:1" x14ac:dyDescent="0.35">
      <c r="A155" s="37" t="s">
        <v>179</v>
      </c>
    </row>
    <row r="156" spans="1:1" x14ac:dyDescent="0.35">
      <c r="A156" s="37" t="s">
        <v>180</v>
      </c>
    </row>
    <row r="157" spans="1:1" x14ac:dyDescent="0.35">
      <c r="A157" s="37" t="s">
        <v>198</v>
      </c>
    </row>
    <row r="158" spans="1:1" x14ac:dyDescent="0.35">
      <c r="A158" s="37" t="s">
        <v>182</v>
      </c>
    </row>
    <row r="159" spans="1:1" x14ac:dyDescent="0.35">
      <c r="A159" s="37" t="s">
        <v>199</v>
      </c>
    </row>
    <row r="160" spans="1:1" x14ac:dyDescent="0.35">
      <c r="A160" s="37" t="s">
        <v>197</v>
      </c>
    </row>
    <row r="161" spans="1:1" x14ac:dyDescent="0.35">
      <c r="A161" s="37" t="s">
        <v>185</v>
      </c>
    </row>
    <row r="162" spans="1:1" x14ac:dyDescent="0.35">
      <c r="A162" s="37" t="s">
        <v>186</v>
      </c>
    </row>
    <row r="163" spans="1:1" x14ac:dyDescent="0.35">
      <c r="A163" s="37" t="s">
        <v>167</v>
      </c>
    </row>
    <row r="164" spans="1:1" x14ac:dyDescent="0.35">
      <c r="A164" s="37" t="s">
        <v>192</v>
      </c>
    </row>
    <row r="165" spans="1:1" x14ac:dyDescent="0.35">
      <c r="A165" s="38"/>
    </row>
    <row r="166" spans="1:1" x14ac:dyDescent="0.35">
      <c r="A166" s="37" t="s">
        <v>200</v>
      </c>
    </row>
    <row r="167" spans="1:1" x14ac:dyDescent="0.35">
      <c r="A167" s="37" t="s">
        <v>159</v>
      </c>
    </row>
    <row r="168" spans="1:1" x14ac:dyDescent="0.35">
      <c r="A168" s="37" t="s">
        <v>160</v>
      </c>
    </row>
    <row r="169" spans="1:1" x14ac:dyDescent="0.35">
      <c r="A169" s="37" t="s">
        <v>161</v>
      </c>
    </row>
    <row r="170" spans="1:1" x14ac:dyDescent="0.35">
      <c r="A170" s="37" t="s">
        <v>162</v>
      </c>
    </row>
    <row r="171" spans="1:1" x14ac:dyDescent="0.35">
      <c r="A171" s="37" t="s">
        <v>191</v>
      </c>
    </row>
    <row r="172" spans="1:1" x14ac:dyDescent="0.35">
      <c r="A172" s="37" t="s">
        <v>164</v>
      </c>
    </row>
    <row r="173" spans="1:1" x14ac:dyDescent="0.35">
      <c r="A173" s="37" t="s">
        <v>165</v>
      </c>
    </row>
    <row r="174" spans="1:1" x14ac:dyDescent="0.35">
      <c r="A174" s="37" t="s">
        <v>166</v>
      </c>
    </row>
    <row r="175" spans="1:1" x14ac:dyDescent="0.35">
      <c r="A175" s="37" t="s">
        <v>167</v>
      </c>
    </row>
    <row r="176" spans="1:1" x14ac:dyDescent="0.35">
      <c r="A176" s="37" t="s">
        <v>201</v>
      </c>
    </row>
    <row r="177" spans="1:1" x14ac:dyDescent="0.35">
      <c r="A177" s="38"/>
    </row>
    <row r="178" spans="1:1" x14ac:dyDescent="0.35">
      <c r="A178" s="37" t="s">
        <v>170</v>
      </c>
    </row>
    <row r="179" spans="1:1" x14ac:dyDescent="0.35">
      <c r="A179" s="37" t="s">
        <v>171</v>
      </c>
    </row>
    <row r="180" spans="1:1" x14ac:dyDescent="0.35">
      <c r="A180" s="37" t="s">
        <v>172</v>
      </c>
    </row>
    <row r="181" spans="1:1" x14ac:dyDescent="0.35">
      <c r="A181" s="37" t="s">
        <v>162</v>
      </c>
    </row>
    <row r="182" spans="1:1" x14ac:dyDescent="0.35">
      <c r="A182" s="37" t="s">
        <v>173</v>
      </c>
    </row>
    <row r="183" spans="1:1" x14ac:dyDescent="0.35">
      <c r="A183" s="37" t="s">
        <v>164</v>
      </c>
    </row>
    <row r="184" spans="1:1" x14ac:dyDescent="0.35">
      <c r="A184" s="37" t="s">
        <v>165</v>
      </c>
    </row>
    <row r="185" spans="1:1" x14ac:dyDescent="0.35">
      <c r="A185" s="37" t="s">
        <v>166</v>
      </c>
    </row>
    <row r="186" spans="1:1" x14ac:dyDescent="0.35">
      <c r="A186" s="37" t="s">
        <v>167</v>
      </c>
    </row>
    <row r="187" spans="1:1" x14ac:dyDescent="0.35">
      <c r="A187" s="37" t="s">
        <v>201</v>
      </c>
    </row>
    <row r="188" spans="1:1" x14ac:dyDescent="0.35">
      <c r="A188" s="38"/>
    </row>
    <row r="189" spans="1:1" x14ac:dyDescent="0.35">
      <c r="A189" s="37" t="s">
        <v>174</v>
      </c>
    </row>
    <row r="190" spans="1:1" x14ac:dyDescent="0.35">
      <c r="A190" s="37" t="s">
        <v>202</v>
      </c>
    </row>
    <row r="191" spans="1:1" x14ac:dyDescent="0.35">
      <c r="A191" s="37" t="s">
        <v>176</v>
      </c>
    </row>
    <row r="192" spans="1:1" x14ac:dyDescent="0.35">
      <c r="A192" s="37" t="s">
        <v>162</v>
      </c>
    </row>
    <row r="193" spans="1:1" x14ac:dyDescent="0.35">
      <c r="A193" s="37" t="s">
        <v>203</v>
      </c>
    </row>
    <row r="194" spans="1:1" x14ac:dyDescent="0.35">
      <c r="A194" s="37" t="s">
        <v>164</v>
      </c>
    </row>
    <row r="195" spans="1:1" x14ac:dyDescent="0.35">
      <c r="A195" s="37" t="s">
        <v>165</v>
      </c>
    </row>
    <row r="196" spans="1:1" x14ac:dyDescent="0.35">
      <c r="A196" s="37" t="s">
        <v>166</v>
      </c>
    </row>
    <row r="197" spans="1:1" x14ac:dyDescent="0.35">
      <c r="A197" s="37" t="s">
        <v>167</v>
      </c>
    </row>
    <row r="198" spans="1:1" x14ac:dyDescent="0.35">
      <c r="A198" s="37" t="s">
        <v>201</v>
      </c>
    </row>
    <row r="199" spans="1:1" x14ac:dyDescent="0.35">
      <c r="A199" s="38"/>
    </row>
    <row r="200" spans="1:1" x14ac:dyDescent="0.35">
      <c r="A200" s="37" t="s">
        <v>178</v>
      </c>
    </row>
    <row r="201" spans="1:1" x14ac:dyDescent="0.35">
      <c r="A201" s="37" t="s">
        <v>179</v>
      </c>
    </row>
    <row r="202" spans="1:1" x14ac:dyDescent="0.35">
      <c r="A202" s="37" t="s">
        <v>180</v>
      </c>
    </row>
    <row r="203" spans="1:1" x14ac:dyDescent="0.35">
      <c r="A203" s="37" t="s">
        <v>204</v>
      </c>
    </row>
    <row r="204" spans="1:1" x14ac:dyDescent="0.35">
      <c r="A204" s="37" t="s">
        <v>205</v>
      </c>
    </row>
    <row r="205" spans="1:1" x14ac:dyDescent="0.35">
      <c r="A205" s="37" t="s">
        <v>206</v>
      </c>
    </row>
    <row r="206" spans="1:1" x14ac:dyDescent="0.35">
      <c r="A206" s="37" t="s">
        <v>207</v>
      </c>
    </row>
    <row r="207" spans="1:1" x14ac:dyDescent="0.35">
      <c r="A207" s="37" t="s">
        <v>185</v>
      </c>
    </row>
    <row r="208" spans="1:1" x14ac:dyDescent="0.35">
      <c r="A208" s="37" t="s">
        <v>186</v>
      </c>
    </row>
    <row r="209" spans="1:1" x14ac:dyDescent="0.35">
      <c r="A209" s="37" t="s">
        <v>167</v>
      </c>
    </row>
    <row r="210" spans="1:1" x14ac:dyDescent="0.35">
      <c r="A210" s="37" t="s">
        <v>201</v>
      </c>
    </row>
    <row r="211" spans="1:1" x14ac:dyDescent="0.35">
      <c r="A211" s="38"/>
    </row>
    <row r="212" spans="1:1" x14ac:dyDescent="0.35">
      <c r="A212" s="37" t="s">
        <v>187</v>
      </c>
    </row>
    <row r="213" spans="1:1" x14ac:dyDescent="0.35">
      <c r="A213" s="37" t="s">
        <v>179</v>
      </c>
    </row>
    <row r="214" spans="1:1" x14ac:dyDescent="0.35">
      <c r="A214" s="37" t="s">
        <v>180</v>
      </c>
    </row>
    <row r="215" spans="1:1" x14ac:dyDescent="0.35">
      <c r="A215" s="37" t="s">
        <v>208</v>
      </c>
    </row>
    <row r="216" spans="1:1" x14ac:dyDescent="0.35">
      <c r="A216" s="37" t="s">
        <v>205</v>
      </c>
    </row>
    <row r="217" spans="1:1" x14ac:dyDescent="0.35">
      <c r="A217" s="37" t="s">
        <v>209</v>
      </c>
    </row>
    <row r="218" spans="1:1" x14ac:dyDescent="0.35">
      <c r="A218" s="37" t="s">
        <v>207</v>
      </c>
    </row>
    <row r="219" spans="1:1" x14ac:dyDescent="0.35">
      <c r="A219" s="37" t="s">
        <v>185</v>
      </c>
    </row>
    <row r="220" spans="1:1" x14ac:dyDescent="0.35">
      <c r="A220" s="37" t="s">
        <v>186</v>
      </c>
    </row>
    <row r="221" spans="1:1" x14ac:dyDescent="0.35">
      <c r="A221" s="37" t="s">
        <v>167</v>
      </c>
    </row>
    <row r="222" spans="1:1" x14ac:dyDescent="0.35">
      <c r="A222" s="37" t="s">
        <v>201</v>
      </c>
    </row>
    <row r="223" spans="1:1" x14ac:dyDescent="0.35">
      <c r="A223" s="38"/>
    </row>
    <row r="224" spans="1:1" x14ac:dyDescent="0.35">
      <c r="A224" s="36" t="s">
        <v>210</v>
      </c>
    </row>
    <row r="225" spans="1:1" x14ac:dyDescent="0.35">
      <c r="A225" s="37" t="s">
        <v>139</v>
      </c>
    </row>
    <row r="226" spans="1:1" x14ac:dyDescent="0.35">
      <c r="A226" s="37" t="s">
        <v>211</v>
      </c>
    </row>
    <row r="227" spans="1:1" x14ac:dyDescent="0.35">
      <c r="A227" s="37" t="s">
        <v>244</v>
      </c>
    </row>
    <row r="228" spans="1:1" x14ac:dyDescent="0.35">
      <c r="A228" s="37" t="s">
        <v>212</v>
      </c>
    </row>
    <row r="229" spans="1:1" x14ac:dyDescent="0.35">
      <c r="A229" s="37" t="s">
        <v>213</v>
      </c>
    </row>
    <row r="230" spans="1:1" x14ac:dyDescent="0.35">
      <c r="A230" s="37" t="s">
        <v>214</v>
      </c>
    </row>
    <row r="231" spans="1:1" x14ac:dyDescent="0.35">
      <c r="A231" s="37" t="s">
        <v>215</v>
      </c>
    </row>
    <row r="232" spans="1:1" x14ac:dyDescent="0.35">
      <c r="A232" s="37" t="s">
        <v>216</v>
      </c>
    </row>
    <row r="233" spans="1:1" x14ac:dyDescent="0.35">
      <c r="A233" s="37" t="s">
        <v>147</v>
      </c>
    </row>
    <row r="234" spans="1:1" x14ac:dyDescent="0.35">
      <c r="A234" s="37" t="s">
        <v>245</v>
      </c>
    </row>
    <row r="235" spans="1:1" x14ac:dyDescent="0.35">
      <c r="A235" s="37" t="s">
        <v>217</v>
      </c>
    </row>
    <row r="236" spans="1:1" x14ac:dyDescent="0.35">
      <c r="A236" s="37" t="s">
        <v>218</v>
      </c>
    </row>
    <row r="237" spans="1:1" x14ac:dyDescent="0.35">
      <c r="A237" s="37" t="s">
        <v>214</v>
      </c>
    </row>
    <row r="238" spans="1:1" x14ac:dyDescent="0.35">
      <c r="A238" s="37" t="s">
        <v>215</v>
      </c>
    </row>
    <row r="239" spans="1:1" x14ac:dyDescent="0.35">
      <c r="A239" s="37" t="s">
        <v>219</v>
      </c>
    </row>
    <row r="240" spans="1:1" x14ac:dyDescent="0.35">
      <c r="A240" s="37" t="s">
        <v>153</v>
      </c>
    </row>
    <row r="241" spans="1:1" x14ac:dyDescent="0.35">
      <c r="A241" s="37" t="s">
        <v>246</v>
      </c>
    </row>
    <row r="242" spans="1:1" x14ac:dyDescent="0.35">
      <c r="A242" s="37" t="s">
        <v>220</v>
      </c>
    </row>
    <row r="243" spans="1:1" x14ac:dyDescent="0.35">
      <c r="A243" s="37" t="s">
        <v>218</v>
      </c>
    </row>
    <row r="244" spans="1:1" x14ac:dyDescent="0.35">
      <c r="A244" s="37" t="s">
        <v>214</v>
      </c>
    </row>
    <row r="245" spans="1:1" x14ac:dyDescent="0.35">
      <c r="A245" s="37" t="s">
        <v>215</v>
      </c>
    </row>
    <row r="246" spans="1:1" x14ac:dyDescent="0.35">
      <c r="A246" s="37" t="s">
        <v>221</v>
      </c>
    </row>
    <row r="247" spans="1:1" x14ac:dyDescent="0.35">
      <c r="A247" s="38"/>
    </row>
    <row r="248" spans="1:1" x14ac:dyDescent="0.35">
      <c r="A248" s="36" t="s">
        <v>222</v>
      </c>
    </row>
    <row r="249" spans="1:1" x14ac:dyDescent="0.35">
      <c r="A249" s="37" t="s">
        <v>223</v>
      </c>
    </row>
    <row r="250" spans="1:1" x14ac:dyDescent="0.35">
      <c r="A250" s="37" t="s">
        <v>224</v>
      </c>
    </row>
    <row r="251" spans="1:1" x14ac:dyDescent="0.35">
      <c r="A251" s="37" t="s">
        <v>225</v>
      </c>
    </row>
    <row r="252" spans="1:1" x14ac:dyDescent="0.35">
      <c r="A252" s="37" t="s">
        <v>226</v>
      </c>
    </row>
    <row r="253" spans="1:1" x14ac:dyDescent="0.35">
      <c r="A253" s="37" t="s">
        <v>33</v>
      </c>
    </row>
    <row r="254" spans="1:1" x14ac:dyDescent="0.35">
      <c r="A254" s="37" t="s">
        <v>227</v>
      </c>
    </row>
    <row r="255" spans="1:1" x14ac:dyDescent="0.35">
      <c r="A255" s="37" t="s">
        <v>228</v>
      </c>
    </row>
    <row r="256" spans="1:1" x14ac:dyDescent="0.35">
      <c r="A256" s="37" t="s">
        <v>229</v>
      </c>
    </row>
    <row r="257" spans="1:1" x14ac:dyDescent="0.35">
      <c r="A257" s="37" t="s">
        <v>230</v>
      </c>
    </row>
    <row r="258" spans="1:1" x14ac:dyDescent="0.35">
      <c r="A258" s="38"/>
    </row>
    <row r="259" spans="1:1" x14ac:dyDescent="0.35">
      <c r="A259" s="37" t="s">
        <v>231</v>
      </c>
    </row>
    <row r="260" spans="1:1" x14ac:dyDescent="0.35">
      <c r="A260" s="37" t="s">
        <v>232</v>
      </c>
    </row>
    <row r="261" spans="1:1" x14ac:dyDescent="0.35">
      <c r="A261" s="37" t="s">
        <v>247</v>
      </c>
    </row>
    <row r="262" spans="1:1" x14ac:dyDescent="0.35">
      <c r="A262" s="37" t="s">
        <v>233</v>
      </c>
    </row>
    <row r="263" spans="1:1" x14ac:dyDescent="0.35">
      <c r="A263" s="37" t="s">
        <v>248</v>
      </c>
    </row>
    <row r="264" spans="1:1" x14ac:dyDescent="0.35">
      <c r="A264" s="37" t="s">
        <v>234</v>
      </c>
    </row>
    <row r="265" spans="1:1" x14ac:dyDescent="0.35">
      <c r="A265" s="37" t="s">
        <v>249</v>
      </c>
    </row>
    <row r="266" spans="1:1" x14ac:dyDescent="0.35">
      <c r="A266" s="38"/>
    </row>
    <row r="267" spans="1:1" x14ac:dyDescent="0.35">
      <c r="A267" s="22" t="s">
        <v>34</v>
      </c>
    </row>
    <row r="268" spans="1:1" x14ac:dyDescent="0.35">
      <c r="A268" s="38"/>
    </row>
    <row r="269" spans="1:1" x14ac:dyDescent="0.35">
      <c r="A269" s="37" t="s">
        <v>235</v>
      </c>
    </row>
    <row r="270" spans="1:1" x14ac:dyDescent="0.35">
      <c r="A270" s="37" t="s">
        <v>33</v>
      </c>
    </row>
    <row r="271" spans="1:1" x14ac:dyDescent="0.35">
      <c r="A271" s="38"/>
    </row>
    <row r="272" spans="1:1" x14ac:dyDescent="0.35">
      <c r="A272" s="37" t="s">
        <v>236</v>
      </c>
    </row>
    <row r="273" spans="1:1" x14ac:dyDescent="0.35">
      <c r="A273" s="37" t="s">
        <v>237</v>
      </c>
    </row>
    <row r="274" spans="1:1" x14ac:dyDescent="0.35">
      <c r="A274" s="37" t="s">
        <v>238</v>
      </c>
    </row>
    <row r="275" spans="1:1" x14ac:dyDescent="0.35">
      <c r="A275" s="37" t="s">
        <v>239</v>
      </c>
    </row>
    <row r="276" spans="1:1" x14ac:dyDescent="0.35">
      <c r="A276" s="37" t="s">
        <v>240</v>
      </c>
    </row>
    <row r="277" spans="1:1" x14ac:dyDescent="0.35">
      <c r="A277" s="37" t="s">
        <v>250</v>
      </c>
    </row>
    <row r="278" spans="1:1" x14ac:dyDescent="0.35">
      <c r="A278" s="37" t="s">
        <v>241</v>
      </c>
    </row>
    <row r="279" spans="1:1" x14ac:dyDescent="0.35">
      <c r="A279" s="37" t="s">
        <v>242</v>
      </c>
    </row>
    <row r="280" spans="1:1" x14ac:dyDescent="0.35">
      <c r="A280" s="38"/>
    </row>
    <row r="281" spans="1:1" x14ac:dyDescent="0.35">
      <c r="A281" s="38"/>
    </row>
    <row r="282" spans="1:1" x14ac:dyDescent="0.35">
      <c r="A282" s="22" t="s">
        <v>36</v>
      </c>
    </row>
    <row r="283" spans="1:1" x14ac:dyDescent="0.35">
      <c r="A283" s="16" t="s">
        <v>35</v>
      </c>
    </row>
    <row r="284" spans="1:1" x14ac:dyDescent="0.35">
      <c r="A284" s="17"/>
    </row>
    <row r="285" spans="1:1" x14ac:dyDescent="0.35">
      <c r="A285" s="17"/>
    </row>
    <row r="286" spans="1:1" x14ac:dyDescent="0.35">
      <c r="A286" s="11" t="s">
        <v>36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093-846C-4F3B-8C78-08E6801904D8}">
  <dimension ref="A1:N48"/>
  <sheetViews>
    <sheetView topLeftCell="A29" workbookViewId="0">
      <selection activeCell="D44" sqref="D44"/>
    </sheetView>
  </sheetViews>
  <sheetFormatPr defaultRowHeight="14.5" x14ac:dyDescent="0.35"/>
  <cols>
    <col min="2" max="2" width="7.453125" customWidth="1"/>
    <col min="3" max="3" width="3.1796875" customWidth="1"/>
    <col min="4" max="4" width="17.81640625" customWidth="1"/>
    <col min="5" max="5" width="3.81640625" customWidth="1"/>
    <col min="6" max="7" width="13" customWidth="1"/>
  </cols>
  <sheetData>
    <row r="1" spans="1:14" x14ac:dyDescent="0.35">
      <c r="A1" s="51" t="s">
        <v>6</v>
      </c>
      <c r="B1" s="51"/>
      <c r="C1" s="51"/>
      <c r="D1" s="51"/>
      <c r="E1" s="51"/>
      <c r="F1" s="51"/>
      <c r="G1" s="1"/>
    </row>
    <row r="2" spans="1:14" x14ac:dyDescent="0.35">
      <c r="A2" s="49" t="s">
        <v>0</v>
      </c>
      <c r="H2" t="s">
        <v>251</v>
      </c>
    </row>
    <row r="3" spans="1:14" x14ac:dyDescent="0.35">
      <c r="A3" s="49"/>
      <c r="B3" s="2"/>
      <c r="C3" s="2"/>
      <c r="D3" s="20" t="s">
        <v>7</v>
      </c>
      <c r="F3" t="s">
        <v>8</v>
      </c>
    </row>
    <row r="4" spans="1:14" x14ac:dyDescent="0.35">
      <c r="A4" s="49"/>
      <c r="B4" s="2" t="s">
        <v>9</v>
      </c>
      <c r="C4" s="2"/>
      <c r="D4" s="19">
        <v>8170.3282442024702</v>
      </c>
      <c r="G4">
        <f>SUM(D4:D5)</f>
        <v>18281.408804324768</v>
      </c>
    </row>
    <row r="5" spans="1:14" x14ac:dyDescent="0.35">
      <c r="A5" s="49"/>
      <c r="B5" s="2" t="s">
        <v>10</v>
      </c>
      <c r="C5" s="2"/>
      <c r="D5" s="19">
        <v>10111.0805601223</v>
      </c>
      <c r="G5">
        <f>SUM(F4:F5)</f>
        <v>0</v>
      </c>
    </row>
    <row r="6" spans="1:14" x14ac:dyDescent="0.35">
      <c r="A6" s="49"/>
      <c r="B6" s="2" t="s">
        <v>11</v>
      </c>
      <c r="C6" s="2"/>
      <c r="D6" s="19">
        <v>12060.7366409526</v>
      </c>
    </row>
    <row r="7" spans="1:14" x14ac:dyDescent="0.35">
      <c r="A7" s="49"/>
      <c r="B7" s="2" t="s">
        <v>12</v>
      </c>
      <c r="C7" s="2"/>
      <c r="D7" s="19">
        <v>9828.1120189060202</v>
      </c>
    </row>
    <row r="8" spans="1:14" x14ac:dyDescent="0.35">
      <c r="A8" s="6"/>
      <c r="B8" s="2"/>
      <c r="C8" s="2"/>
      <c r="D8" s="4">
        <f>SUM(D4:D7)</f>
        <v>40170.257464183393</v>
      </c>
      <c r="E8" s="4"/>
      <c r="F8" s="4">
        <f>SUM(F4:F7)</f>
        <v>0</v>
      </c>
      <c r="G8" s="4"/>
    </row>
    <row r="9" spans="1:14" x14ac:dyDescent="0.35">
      <c r="A9" s="49" t="s">
        <v>13</v>
      </c>
      <c r="B9" s="2"/>
      <c r="C9" s="2"/>
    </row>
    <row r="10" spans="1:14" x14ac:dyDescent="0.35">
      <c r="A10" s="49"/>
      <c r="B10" s="2" t="s">
        <v>9</v>
      </c>
      <c r="C10" s="2"/>
      <c r="D10" s="19">
        <v>4183.2162656444298</v>
      </c>
      <c r="G10">
        <f>SUM(D10:D11)</f>
        <v>9489.7009142042298</v>
      </c>
      <c r="H10">
        <f>G10-G4</f>
        <v>-8791.7078901205387</v>
      </c>
    </row>
    <row r="11" spans="1:14" x14ac:dyDescent="0.35">
      <c r="A11" s="49"/>
      <c r="B11" s="2" t="s">
        <v>10</v>
      </c>
      <c r="C11" s="2"/>
      <c r="D11" s="19">
        <v>5306.4846485598</v>
      </c>
      <c r="G11">
        <f>SUM(F10:F11)</f>
        <v>0</v>
      </c>
    </row>
    <row r="12" spans="1:14" x14ac:dyDescent="0.35">
      <c r="A12" s="49"/>
      <c r="B12" s="2" t="s">
        <v>11</v>
      </c>
      <c r="C12" s="2"/>
      <c r="D12" s="19">
        <v>8689.2632209549502</v>
      </c>
      <c r="H12">
        <f>D12-D6</f>
        <v>-3371.4734199976501</v>
      </c>
    </row>
    <row r="13" spans="1:14" x14ac:dyDescent="0.35">
      <c r="A13" s="49"/>
      <c r="B13" s="2" t="s">
        <v>12</v>
      </c>
      <c r="C13" s="2"/>
      <c r="D13" s="19">
        <v>8468.9789240600094</v>
      </c>
      <c r="H13">
        <f>D13-D7</f>
        <v>-1359.1330948460109</v>
      </c>
    </row>
    <row r="14" spans="1:14" ht="15" thickBot="1" x14ac:dyDescent="0.4">
      <c r="A14" s="49"/>
      <c r="D14" s="4">
        <f>SUM(D10:D13)</f>
        <v>26647.943059219186</v>
      </c>
      <c r="E14" s="4"/>
      <c r="F14" s="4">
        <f>SUM(F10:F13)</f>
        <v>0</v>
      </c>
      <c r="G14" s="4"/>
    </row>
    <row r="15" spans="1:14" x14ac:dyDescent="0.35">
      <c r="I15" s="50" t="s">
        <v>14</v>
      </c>
      <c r="J15" s="39" t="s">
        <v>85</v>
      </c>
      <c r="K15" s="14" t="s">
        <v>103</v>
      </c>
      <c r="L15" s="14"/>
      <c r="M15" s="14"/>
      <c r="N15" s="40"/>
    </row>
    <row r="16" spans="1:14" x14ac:dyDescent="0.35">
      <c r="A16" s="49" t="s">
        <v>14</v>
      </c>
      <c r="B16" s="2" t="s">
        <v>9</v>
      </c>
      <c r="C16" s="2"/>
      <c r="D16" s="19">
        <v>8260.0319501837603</v>
      </c>
      <c r="G16">
        <f>SUM(D16:D17)</f>
        <v>16869.96884407608</v>
      </c>
      <c r="H16">
        <f>G16-G4</f>
        <v>-1411.4399602486883</v>
      </c>
      <c r="I16" s="50"/>
      <c r="J16" s="41" t="s">
        <v>86</v>
      </c>
      <c r="K16" t="s">
        <v>87</v>
      </c>
      <c r="L16" t="s">
        <v>88</v>
      </c>
      <c r="M16" t="s">
        <v>89</v>
      </c>
      <c r="N16" s="7" t="s">
        <v>90</v>
      </c>
    </row>
    <row r="17" spans="1:14" x14ac:dyDescent="0.35">
      <c r="A17" s="49"/>
      <c r="B17" s="2" t="s">
        <v>10</v>
      </c>
      <c r="C17" s="2"/>
      <c r="D17" s="19">
        <v>8609.9368938923199</v>
      </c>
      <c r="G17">
        <f>SUM(F16:F17)</f>
        <v>0</v>
      </c>
      <c r="I17" s="50"/>
      <c r="J17" s="41"/>
      <c r="K17" t="s">
        <v>91</v>
      </c>
      <c r="L17" t="s">
        <v>92</v>
      </c>
      <c r="M17" s="13">
        <v>4.4444444444444446E-2</v>
      </c>
      <c r="N17" s="7"/>
    </row>
    <row r="18" spans="1:14" x14ac:dyDescent="0.35">
      <c r="A18" s="49"/>
      <c r="B18" s="2" t="s">
        <v>11</v>
      </c>
      <c r="C18" s="2"/>
      <c r="D18" s="19">
        <v>14828.9986137698</v>
      </c>
      <c r="H18">
        <f>D18-D6</f>
        <v>2768.2619728171994</v>
      </c>
      <c r="I18" s="50"/>
      <c r="J18" s="41" t="s">
        <v>93</v>
      </c>
      <c r="K18" t="s">
        <v>94</v>
      </c>
      <c r="L18" t="s">
        <v>95</v>
      </c>
      <c r="M18" t="s">
        <v>96</v>
      </c>
      <c r="N18" s="7" t="s">
        <v>97</v>
      </c>
    </row>
    <row r="19" spans="1:14" x14ac:dyDescent="0.35">
      <c r="A19" s="49"/>
      <c r="B19" s="2" t="s">
        <v>12</v>
      </c>
      <c r="C19" s="2"/>
      <c r="D19" s="19">
        <v>16449.997324016698</v>
      </c>
      <c r="H19">
        <f>D19-D7</f>
        <v>6621.885305110678</v>
      </c>
      <c r="I19" s="50"/>
      <c r="J19" s="41"/>
      <c r="K19" s="21">
        <v>3.7617179729275799E-15</v>
      </c>
      <c r="N19" s="7"/>
    </row>
    <row r="20" spans="1:14" x14ac:dyDescent="0.35">
      <c r="A20" s="49"/>
      <c r="D20" s="4">
        <f>SUM(D16:D19)</f>
        <v>48148.964781862582</v>
      </c>
      <c r="E20" s="4"/>
      <c r="F20" s="4">
        <f>SUM(F16:F19)</f>
        <v>0</v>
      </c>
      <c r="G20" s="4"/>
      <c r="J20" s="41"/>
      <c r="K20" s="21">
        <v>3.7617171351507399E-15</v>
      </c>
      <c r="N20" s="7"/>
    </row>
    <row r="21" spans="1:14" x14ac:dyDescent="0.35">
      <c r="J21" s="41"/>
      <c r="K21" s="21">
        <v>3.7620118993209898E-15</v>
      </c>
      <c r="N21" s="7"/>
    </row>
    <row r="22" spans="1:14" ht="15" thickBot="1" x14ac:dyDescent="0.4">
      <c r="A22" s="49" t="s">
        <v>5</v>
      </c>
      <c r="B22" s="2" t="s">
        <v>9</v>
      </c>
      <c r="C22" s="2"/>
      <c r="D22" s="19">
        <v>11110.709158429299</v>
      </c>
      <c r="F22" s="9"/>
      <c r="G22">
        <f>SUM(D22:D23)</f>
        <v>21502.300058437497</v>
      </c>
      <c r="H22">
        <f>G22-G4</f>
        <v>3220.8912541127283</v>
      </c>
      <c r="J22" s="42"/>
      <c r="K22" s="43">
        <v>3.7629265459581998E-15</v>
      </c>
      <c r="L22" s="15"/>
      <c r="M22" s="15"/>
      <c r="N22" s="8"/>
    </row>
    <row r="23" spans="1:14" x14ac:dyDescent="0.35">
      <c r="A23" s="49"/>
      <c r="B23" s="2" t="s">
        <v>10</v>
      </c>
      <c r="C23" s="2"/>
      <c r="D23" s="19">
        <v>10391.590900008199</v>
      </c>
      <c r="F23" s="9"/>
      <c r="G23">
        <f>SUM(F22:F23)</f>
        <v>0</v>
      </c>
      <c r="I23" s="5"/>
    </row>
    <row r="24" spans="1:14" x14ac:dyDescent="0.35">
      <c r="A24" s="49"/>
      <c r="B24" s="2" t="s">
        <v>11</v>
      </c>
      <c r="C24" s="2"/>
      <c r="D24" s="19">
        <v>11513.4148409268</v>
      </c>
      <c r="F24" s="9"/>
      <c r="G24" s="9"/>
      <c r="H24">
        <f>D24-D6</f>
        <v>-547.32180002580026</v>
      </c>
      <c r="I24" s="3"/>
    </row>
    <row r="25" spans="1:14" x14ac:dyDescent="0.35">
      <c r="A25" s="49"/>
      <c r="B25" s="2" t="s">
        <v>12</v>
      </c>
      <c r="C25" s="2"/>
      <c r="D25" s="19">
        <v>12590.3064066229</v>
      </c>
      <c r="F25" s="9"/>
      <c r="G25" s="9"/>
      <c r="H25">
        <f>D25-D7</f>
        <v>2762.1943877168796</v>
      </c>
      <c r="I25" s="3"/>
    </row>
    <row r="26" spans="1:14" x14ac:dyDescent="0.35">
      <c r="A26" s="49"/>
      <c r="D26" s="4">
        <f>SUM(D22:D25)</f>
        <v>45606.021305987197</v>
      </c>
      <c r="E26" s="4"/>
      <c r="F26" s="4">
        <f>SUM(F22:F25)</f>
        <v>0</v>
      </c>
      <c r="G26" s="4"/>
    </row>
    <row r="28" spans="1:14" x14ac:dyDescent="0.35">
      <c r="A28" s="49" t="s">
        <v>4</v>
      </c>
    </row>
    <row r="29" spans="1:14" x14ac:dyDescent="0.35">
      <c r="A29" s="49"/>
      <c r="B29" s="2" t="s">
        <v>9</v>
      </c>
      <c r="C29" s="2"/>
      <c r="D29" s="19">
        <v>9440.0329498266292</v>
      </c>
      <c r="G29">
        <f>SUM(D29:D30)</f>
        <v>18921.101238809191</v>
      </c>
      <c r="H29">
        <f>G29-G4</f>
        <v>639.69243448442285</v>
      </c>
    </row>
    <row r="30" spans="1:14" x14ac:dyDescent="0.35">
      <c r="A30" s="49"/>
      <c r="B30" s="2" t="s">
        <v>10</v>
      </c>
      <c r="C30" s="2"/>
      <c r="D30" s="19">
        <v>9481.0682889825603</v>
      </c>
      <c r="G30">
        <f>SUM(F29:F30)</f>
        <v>0</v>
      </c>
    </row>
    <row r="31" spans="1:14" x14ac:dyDescent="0.35">
      <c r="A31" s="49"/>
      <c r="B31" s="2" t="s">
        <v>11</v>
      </c>
      <c r="C31" s="2"/>
      <c r="D31" s="19">
        <v>12486.1020933076</v>
      </c>
      <c r="H31">
        <f>D31-D6</f>
        <v>425.36545235499943</v>
      </c>
    </row>
    <row r="32" spans="1:14" x14ac:dyDescent="0.35">
      <c r="A32" s="49"/>
      <c r="B32" s="2" t="s">
        <v>12</v>
      </c>
      <c r="C32" s="2"/>
      <c r="D32" s="19">
        <v>14198.9418477086</v>
      </c>
      <c r="H32">
        <f>D32-D7</f>
        <v>4370.8298288025799</v>
      </c>
    </row>
    <row r="33" spans="1:14" x14ac:dyDescent="0.35">
      <c r="A33" s="6"/>
      <c r="B33" s="2"/>
      <c r="C33" s="2"/>
      <c r="D33" s="4">
        <f>SUM(D29:D32)</f>
        <v>45606.145179825391</v>
      </c>
      <c r="E33" s="4"/>
      <c r="F33" s="4">
        <f>SUM(F29:F32)</f>
        <v>0</v>
      </c>
      <c r="G33" s="4"/>
    </row>
    <row r="34" spans="1:14" ht="15" thickBot="1" x14ac:dyDescent="0.4">
      <c r="A34" s="49" t="s">
        <v>3</v>
      </c>
    </row>
    <row r="35" spans="1:14" x14ac:dyDescent="0.35">
      <c r="A35" s="49"/>
      <c r="B35" s="2" t="s">
        <v>9</v>
      </c>
      <c r="D35" s="19">
        <v>7303.20055883434</v>
      </c>
      <c r="G35">
        <f>SUM(D35:D36)</f>
        <v>14777.986866370989</v>
      </c>
      <c r="H35">
        <f>G35-G4</f>
        <v>-3503.421937953779</v>
      </c>
      <c r="I35" s="50" t="s">
        <v>3</v>
      </c>
      <c r="J35" s="39" t="s">
        <v>85</v>
      </c>
      <c r="K35" s="14" t="s">
        <v>103</v>
      </c>
      <c r="L35" s="14"/>
      <c r="M35" s="14"/>
      <c r="N35" s="40"/>
    </row>
    <row r="36" spans="1:14" x14ac:dyDescent="0.35">
      <c r="A36" s="49"/>
      <c r="B36" s="2" t="s">
        <v>10</v>
      </c>
      <c r="D36" s="19">
        <v>7474.7863075366504</v>
      </c>
      <c r="G36">
        <f>SUM(F35:F36)</f>
        <v>0</v>
      </c>
      <c r="I36" s="50"/>
      <c r="J36" s="41" t="s">
        <v>86</v>
      </c>
      <c r="K36" t="s">
        <v>87</v>
      </c>
      <c r="L36" t="s">
        <v>88</v>
      </c>
      <c r="M36" t="s">
        <v>89</v>
      </c>
      <c r="N36" s="7" t="s">
        <v>90</v>
      </c>
    </row>
    <row r="37" spans="1:14" x14ac:dyDescent="0.35">
      <c r="A37" s="49"/>
      <c r="B37" s="2" t="s">
        <v>11</v>
      </c>
      <c r="D37" s="19">
        <v>13084.016515462101</v>
      </c>
      <c r="H37">
        <f>D37-D6</f>
        <v>1023.2798745095006</v>
      </c>
      <c r="I37" s="50"/>
      <c r="J37" s="41"/>
      <c r="K37" t="s">
        <v>91</v>
      </c>
      <c r="L37" t="s">
        <v>92</v>
      </c>
      <c r="M37" s="13">
        <v>4.4444444444444446E-2</v>
      </c>
      <c r="N37" s="7"/>
    </row>
    <row r="38" spans="1:14" x14ac:dyDescent="0.35">
      <c r="A38" s="49"/>
      <c r="B38" s="2" t="s">
        <v>12</v>
      </c>
      <c r="D38" s="19">
        <v>14238.007043044699</v>
      </c>
      <c r="H38">
        <f>D38-D7</f>
        <v>4409.8950241386792</v>
      </c>
      <c r="I38" s="50"/>
      <c r="J38" s="41" t="s">
        <v>93</v>
      </c>
      <c r="K38" t="s">
        <v>94</v>
      </c>
      <c r="L38" t="s">
        <v>95</v>
      </c>
      <c r="M38" t="s">
        <v>96</v>
      </c>
      <c r="N38" s="7" t="s">
        <v>97</v>
      </c>
    </row>
    <row r="39" spans="1:14" x14ac:dyDescent="0.35">
      <c r="A39" s="49"/>
      <c r="D39" s="4">
        <f>SUM(D35:D38)</f>
        <v>42100.010424877793</v>
      </c>
      <c r="E39" s="4"/>
      <c r="F39" s="4">
        <f>SUM(F35:F38)</f>
        <v>0</v>
      </c>
      <c r="G39" s="4"/>
      <c r="I39" s="50"/>
      <c r="J39" s="41"/>
      <c r="K39">
        <v>1.6731084348256101E-2</v>
      </c>
      <c r="N39" s="7"/>
    </row>
    <row r="40" spans="1:14" x14ac:dyDescent="0.35">
      <c r="I40" s="50"/>
      <c r="J40" s="41"/>
      <c r="K40">
        <v>1.6741563540098901E-2</v>
      </c>
      <c r="N40" s="7"/>
    </row>
    <row r="41" spans="1:14" x14ac:dyDescent="0.35">
      <c r="J41" s="41"/>
      <c r="K41">
        <v>4.20554547845274E-2</v>
      </c>
      <c r="N41" s="7"/>
    </row>
    <row r="42" spans="1:14" ht="15" thickBot="1" x14ac:dyDescent="0.4">
      <c r="J42" s="42"/>
      <c r="K42" s="43">
        <v>6.0061353452000002E-8</v>
      </c>
      <c r="L42" s="15"/>
      <c r="M42" s="15"/>
      <c r="N42" s="8"/>
    </row>
    <row r="43" spans="1:14" x14ac:dyDescent="0.35">
      <c r="A43" s="49" t="s">
        <v>268</v>
      </c>
    </row>
    <row r="44" spans="1:14" x14ac:dyDescent="0.35">
      <c r="A44" s="49"/>
      <c r="B44" s="2" t="s">
        <v>9</v>
      </c>
      <c r="D44" s="19">
        <v>7692.2720204359202</v>
      </c>
      <c r="G44">
        <f>SUM(D44:D45)</f>
        <v>16155.90758023033</v>
      </c>
      <c r="H44">
        <f>G44-G13</f>
        <v>16155.90758023033</v>
      </c>
    </row>
    <row r="45" spans="1:14" x14ac:dyDescent="0.35">
      <c r="A45" s="49"/>
      <c r="B45" s="2" t="s">
        <v>10</v>
      </c>
      <c r="D45" s="19">
        <v>8463.6355597944093</v>
      </c>
      <c r="G45">
        <f>SUM(F44:F45)</f>
        <v>0</v>
      </c>
    </row>
    <row r="46" spans="1:14" x14ac:dyDescent="0.35">
      <c r="A46" s="49"/>
      <c r="B46" s="2" t="s">
        <v>11</v>
      </c>
      <c r="D46" s="19">
        <v>13956.985155435699</v>
      </c>
      <c r="H46">
        <f>D46-D15</f>
        <v>13956.985155435699</v>
      </c>
    </row>
    <row r="47" spans="1:14" x14ac:dyDescent="0.35">
      <c r="A47" s="49"/>
      <c r="B47" s="2" t="s">
        <v>12</v>
      </c>
      <c r="D47" s="19">
        <v>15492.967844152299</v>
      </c>
      <c r="H47">
        <f>D47-D16</f>
        <v>7232.9358939685389</v>
      </c>
    </row>
    <row r="48" spans="1:14" x14ac:dyDescent="0.35">
      <c r="A48" s="49"/>
      <c r="D48" s="4">
        <f>SUM(D44:D47)</f>
        <v>45605.860579818327</v>
      </c>
      <c r="E48" s="4"/>
      <c r="F48" s="4">
        <f>SUM(F44:F47)</f>
        <v>0</v>
      </c>
      <c r="G48" s="4"/>
    </row>
  </sheetData>
  <mergeCells count="10">
    <mergeCell ref="A43:A48"/>
    <mergeCell ref="I15:I19"/>
    <mergeCell ref="I35:I40"/>
    <mergeCell ref="A1:F1"/>
    <mergeCell ref="A2:A7"/>
    <mergeCell ref="A9:A14"/>
    <mergeCell ref="A34:A39"/>
    <mergeCell ref="A28:A32"/>
    <mergeCell ref="A16:A20"/>
    <mergeCell ref="A22:A2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91C82-6C6D-40EE-8BF2-E9DADBE04603}">
  <dimension ref="B3:Q58"/>
  <sheetViews>
    <sheetView topLeftCell="A17" workbookViewId="0">
      <selection activeCell="H27" sqref="H27"/>
    </sheetView>
  </sheetViews>
  <sheetFormatPr defaultRowHeight="14.5" x14ac:dyDescent="0.35"/>
  <cols>
    <col min="2" max="2" width="12.453125" customWidth="1"/>
    <col min="3" max="3" width="16.54296875" customWidth="1"/>
    <col min="5" max="5" width="20" customWidth="1"/>
    <col min="6" max="6" width="23" customWidth="1"/>
    <col min="7" max="7" width="22.1796875" customWidth="1"/>
    <col min="8" max="8" width="10" bestFit="1" customWidth="1"/>
    <col min="9" max="10" width="12" bestFit="1" customWidth="1"/>
    <col min="11" max="12" width="15.7265625" customWidth="1"/>
    <col min="13" max="13" width="12" bestFit="1" customWidth="1"/>
  </cols>
  <sheetData>
    <row r="3" spans="2:17" x14ac:dyDescent="0.35">
      <c r="B3" s="12" t="s">
        <v>27</v>
      </c>
    </row>
    <row r="4" spans="2:17" x14ac:dyDescent="0.35">
      <c r="B4" t="s">
        <v>15</v>
      </c>
      <c r="C4" t="s">
        <v>16</v>
      </c>
      <c r="D4" t="s">
        <v>17</v>
      </c>
      <c r="E4" t="s">
        <v>15</v>
      </c>
    </row>
    <row r="5" spans="2:17" x14ac:dyDescent="0.35">
      <c r="C5" t="s">
        <v>18</v>
      </c>
      <c r="D5" t="s">
        <v>19</v>
      </c>
      <c r="E5">
        <v>2089.9</v>
      </c>
      <c r="F5">
        <v>-1969.4</v>
      </c>
    </row>
    <row r="6" spans="2:17" x14ac:dyDescent="0.35">
      <c r="C6" t="s">
        <v>20</v>
      </c>
      <c r="D6" t="s">
        <v>21</v>
      </c>
      <c r="E6">
        <v>-161.6</v>
      </c>
      <c r="F6">
        <v>282.10000000000002</v>
      </c>
    </row>
    <row r="7" spans="2:17" x14ac:dyDescent="0.35">
      <c r="C7" t="s">
        <v>22</v>
      </c>
      <c r="D7" t="s">
        <v>23</v>
      </c>
      <c r="E7">
        <v>-2061.1</v>
      </c>
      <c r="F7">
        <v>2181.6</v>
      </c>
    </row>
    <row r="8" spans="2:17" x14ac:dyDescent="0.35">
      <c r="B8" t="s">
        <v>24</v>
      </c>
      <c r="C8" t="s">
        <v>282</v>
      </c>
      <c r="D8" t="s">
        <v>283</v>
      </c>
      <c r="E8" t="s">
        <v>284</v>
      </c>
      <c r="F8" t="s">
        <v>285</v>
      </c>
      <c r="G8" t="s">
        <v>286</v>
      </c>
      <c r="H8" t="s">
        <v>287</v>
      </c>
    </row>
    <row r="9" spans="2:17" x14ac:dyDescent="0.35">
      <c r="B9" t="s">
        <v>24</v>
      </c>
      <c r="C9" t="s">
        <v>25</v>
      </c>
      <c r="D9" t="s">
        <v>19</v>
      </c>
      <c r="E9" t="s">
        <v>26</v>
      </c>
      <c r="F9" t="s">
        <v>288</v>
      </c>
      <c r="G9" t="s">
        <v>283</v>
      </c>
      <c r="H9" t="s">
        <v>20</v>
      </c>
      <c r="I9" t="s">
        <v>21</v>
      </c>
      <c r="J9" t="s">
        <v>26</v>
      </c>
      <c r="K9" t="s">
        <v>284</v>
      </c>
      <c r="L9" t="s">
        <v>285</v>
      </c>
      <c r="M9" t="s">
        <v>22</v>
      </c>
      <c r="N9" t="s">
        <v>23</v>
      </c>
      <c r="O9" t="s">
        <v>26</v>
      </c>
      <c r="P9" t="s">
        <v>286</v>
      </c>
      <c r="Q9" t="s">
        <v>289</v>
      </c>
    </row>
    <row r="12" spans="2:17" x14ac:dyDescent="0.35">
      <c r="B12" s="12" t="s">
        <v>28</v>
      </c>
    </row>
    <row r="13" spans="2:17" x14ac:dyDescent="0.35">
      <c r="B13" t="s">
        <v>15</v>
      </c>
      <c r="C13" t="s">
        <v>16</v>
      </c>
      <c r="D13" t="s">
        <v>17</v>
      </c>
      <c r="E13" t="s">
        <v>15</v>
      </c>
    </row>
    <row r="14" spans="2:17" x14ac:dyDescent="0.35">
      <c r="C14" t="s">
        <v>18</v>
      </c>
      <c r="D14" t="s">
        <v>19</v>
      </c>
      <c r="E14">
        <v>2515.8000000000002</v>
      </c>
      <c r="F14">
        <v>-2515.1</v>
      </c>
    </row>
    <row r="15" spans="2:17" x14ac:dyDescent="0.35">
      <c r="C15" t="s">
        <v>20</v>
      </c>
      <c r="D15" t="s">
        <v>21</v>
      </c>
      <c r="E15">
        <v>336.1</v>
      </c>
      <c r="F15">
        <v>-335.4</v>
      </c>
    </row>
    <row r="16" spans="2:17" x14ac:dyDescent="0.35">
      <c r="C16" t="s">
        <v>22</v>
      </c>
      <c r="D16" t="s">
        <v>23</v>
      </c>
      <c r="E16">
        <v>-2978.6</v>
      </c>
      <c r="F16">
        <v>2979.2</v>
      </c>
    </row>
    <row r="17" spans="2:17" x14ac:dyDescent="0.35">
      <c r="B17" t="s">
        <v>24</v>
      </c>
      <c r="C17" t="s">
        <v>290</v>
      </c>
      <c r="D17" t="s">
        <v>291</v>
      </c>
      <c r="E17" t="s">
        <v>292</v>
      </c>
      <c r="F17" t="s">
        <v>293</v>
      </c>
      <c r="G17" t="s">
        <v>294</v>
      </c>
      <c r="H17" t="s">
        <v>295</v>
      </c>
    </row>
    <row r="18" spans="2:17" x14ac:dyDescent="0.35">
      <c r="B18" t="s">
        <v>24</v>
      </c>
      <c r="C18" t="s">
        <v>25</v>
      </c>
      <c r="D18" t="s">
        <v>19</v>
      </c>
      <c r="E18" t="s">
        <v>26</v>
      </c>
      <c r="F18" t="s">
        <v>296</v>
      </c>
      <c r="G18" t="s">
        <v>291</v>
      </c>
      <c r="H18" t="s">
        <v>20</v>
      </c>
      <c r="I18" t="s">
        <v>21</v>
      </c>
      <c r="J18" t="s">
        <v>26</v>
      </c>
      <c r="K18" t="s">
        <v>292</v>
      </c>
      <c r="L18" t="s">
        <v>293</v>
      </c>
      <c r="M18" t="s">
        <v>22</v>
      </c>
      <c r="N18" t="s">
        <v>23</v>
      </c>
      <c r="O18" t="s">
        <v>26</v>
      </c>
      <c r="P18" t="s">
        <v>294</v>
      </c>
      <c r="Q18" t="s">
        <v>297</v>
      </c>
    </row>
    <row r="21" spans="2:17" x14ac:dyDescent="0.35">
      <c r="B21" s="12" t="s">
        <v>29</v>
      </c>
    </row>
    <row r="22" spans="2:17" x14ac:dyDescent="0.35">
      <c r="B22" t="s">
        <v>15</v>
      </c>
      <c r="C22" t="s">
        <v>16</v>
      </c>
      <c r="D22" t="s">
        <v>17</v>
      </c>
      <c r="E22" t="s">
        <v>15</v>
      </c>
    </row>
    <row r="23" spans="2:17" x14ac:dyDescent="0.35">
      <c r="C23" t="s">
        <v>18</v>
      </c>
      <c r="D23" t="s">
        <v>19</v>
      </c>
      <c r="E23">
        <v>2783.4</v>
      </c>
      <c r="F23">
        <v>-2625.1</v>
      </c>
    </row>
    <row r="24" spans="2:17" x14ac:dyDescent="0.35">
      <c r="C24" t="s">
        <v>20</v>
      </c>
      <c r="D24" t="s">
        <v>21</v>
      </c>
      <c r="E24">
        <v>-364.9</v>
      </c>
      <c r="F24">
        <v>554.79999999999995</v>
      </c>
    </row>
    <row r="25" spans="2:17" x14ac:dyDescent="0.35">
      <c r="C25" t="s">
        <v>22</v>
      </c>
      <c r="D25" t="s">
        <v>23</v>
      </c>
      <c r="E25">
        <v>-2332.8000000000002</v>
      </c>
      <c r="F25">
        <v>2570.3000000000002</v>
      </c>
    </row>
    <row r="26" spans="2:17" x14ac:dyDescent="0.35">
      <c r="B26" t="s">
        <v>24</v>
      </c>
      <c r="C26" t="s">
        <v>298</v>
      </c>
      <c r="D26" t="s">
        <v>299</v>
      </c>
      <c r="E26" t="s">
        <v>300</v>
      </c>
      <c r="F26" t="s">
        <v>301</v>
      </c>
      <c r="G26" t="s">
        <v>302</v>
      </c>
      <c r="H26" t="s">
        <v>303</v>
      </c>
    </row>
    <row r="27" spans="2:17" x14ac:dyDescent="0.35">
      <c r="B27" t="s">
        <v>24</v>
      </c>
      <c r="C27" t="s">
        <v>25</v>
      </c>
      <c r="D27" t="s">
        <v>19</v>
      </c>
      <c r="E27" t="s">
        <v>26</v>
      </c>
      <c r="F27" t="s">
        <v>304</v>
      </c>
      <c r="G27" t="s">
        <v>299</v>
      </c>
      <c r="H27" t="s">
        <v>20</v>
      </c>
      <c r="I27" t="s">
        <v>21</v>
      </c>
      <c r="J27" t="s">
        <v>26</v>
      </c>
      <c r="K27" t="s">
        <v>300</v>
      </c>
      <c r="L27" t="s">
        <v>301</v>
      </c>
      <c r="M27" t="s">
        <v>22</v>
      </c>
      <c r="N27" t="s">
        <v>23</v>
      </c>
      <c r="O27" t="s">
        <v>26</v>
      </c>
      <c r="P27" t="s">
        <v>302</v>
      </c>
      <c r="Q27" t="s">
        <v>305</v>
      </c>
    </row>
    <row r="33" spans="2:15" s="34" customFormat="1" x14ac:dyDescent="0.35"/>
    <row r="35" spans="2:15" x14ac:dyDescent="0.35">
      <c r="B35" t="s">
        <v>85</v>
      </c>
      <c r="C35" t="s">
        <v>98</v>
      </c>
    </row>
    <row r="36" spans="2:15" x14ac:dyDescent="0.35">
      <c r="B36" t="s">
        <v>99</v>
      </c>
      <c r="C36" t="s">
        <v>100</v>
      </c>
      <c r="D36" t="s">
        <v>88</v>
      </c>
      <c r="E36" t="s">
        <v>89</v>
      </c>
      <c r="F36" t="s">
        <v>90</v>
      </c>
    </row>
    <row r="37" spans="2:15" x14ac:dyDescent="0.35">
      <c r="C37" t="s">
        <v>91</v>
      </c>
      <c r="D37" t="s">
        <v>92</v>
      </c>
      <c r="E37" s="13">
        <v>4.3749999999999997E-2</v>
      </c>
    </row>
    <row r="38" spans="2:15" x14ac:dyDescent="0.35">
      <c r="C38" t="s">
        <v>91</v>
      </c>
      <c r="D38" t="s">
        <v>101</v>
      </c>
      <c r="E38" s="13">
        <v>4.4444444444444446E-2</v>
      </c>
    </row>
    <row r="39" spans="2:15" ht="24.75" customHeight="1" x14ac:dyDescent="0.35">
      <c r="B39" t="s">
        <v>93</v>
      </c>
      <c r="C39" t="s">
        <v>94</v>
      </c>
      <c r="D39" t="s">
        <v>95</v>
      </c>
      <c r="E39" t="s">
        <v>121</v>
      </c>
      <c r="F39" t="s">
        <v>102</v>
      </c>
    </row>
    <row r="40" spans="2:15" x14ac:dyDescent="0.35">
      <c r="C40">
        <v>8435.2199999999993</v>
      </c>
      <c r="D40">
        <v>8435.2199999999993</v>
      </c>
      <c r="E40">
        <v>13293.2</v>
      </c>
      <c r="F40">
        <v>14722.4</v>
      </c>
      <c r="G40">
        <f>SUM(C40:F40)</f>
        <v>44886.04</v>
      </c>
      <c r="H40" s="4"/>
    </row>
    <row r="41" spans="2:15" x14ac:dyDescent="0.35">
      <c r="C41">
        <v>8003.21</v>
      </c>
      <c r="D41">
        <v>8003.21</v>
      </c>
      <c r="E41">
        <v>14829.2</v>
      </c>
      <c r="F41">
        <v>14770.4</v>
      </c>
      <c r="G41">
        <f t="shared" ref="G41:G42" si="0">SUM(C41:F41)</f>
        <v>45606.020000000004</v>
      </c>
      <c r="H41" s="4"/>
    </row>
    <row r="42" spans="2:15" x14ac:dyDescent="0.35">
      <c r="C42">
        <v>7523.19</v>
      </c>
      <c r="D42">
        <v>7523.19</v>
      </c>
      <c r="E42">
        <v>13293.2</v>
      </c>
      <c r="F42">
        <v>16450.400000000001</v>
      </c>
      <c r="G42">
        <f t="shared" si="0"/>
        <v>44789.98</v>
      </c>
      <c r="H42" s="4"/>
      <c r="O42" s="4"/>
    </row>
    <row r="51" spans="2:9" x14ac:dyDescent="0.35">
      <c r="B51" s="4"/>
      <c r="G51" s="25"/>
      <c r="I51" s="25"/>
    </row>
    <row r="52" spans="2:9" x14ac:dyDescent="0.35">
      <c r="B52" s="4"/>
      <c r="I52" s="25"/>
    </row>
    <row r="53" spans="2:9" x14ac:dyDescent="0.35">
      <c r="B53" s="4"/>
      <c r="I53" s="25"/>
    </row>
    <row r="56" spans="2:9" x14ac:dyDescent="0.35">
      <c r="B56" s="4"/>
    </row>
    <row r="57" spans="2:9" x14ac:dyDescent="0.35">
      <c r="B57" s="4"/>
    </row>
    <row r="58" spans="2:9" x14ac:dyDescent="0.35">
      <c r="B5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3CADA-4813-4D4C-9452-B2A1A6727F89}">
  <dimension ref="A1:F9"/>
  <sheetViews>
    <sheetView topLeftCell="B1" workbookViewId="0">
      <selection activeCell="D3" sqref="D3"/>
    </sheetView>
  </sheetViews>
  <sheetFormatPr defaultRowHeight="14.5" x14ac:dyDescent="0.35"/>
  <cols>
    <col min="2" max="2" width="11.26953125" customWidth="1"/>
    <col min="3" max="3" width="14.54296875" customWidth="1"/>
    <col min="4" max="4" width="11.81640625" customWidth="1"/>
  </cols>
  <sheetData>
    <row r="1" spans="1:6" x14ac:dyDescent="0.35">
      <c r="B1" s="52" t="s">
        <v>37</v>
      </c>
      <c r="C1" s="52"/>
      <c r="D1" s="52"/>
    </row>
    <row r="2" spans="1:6" x14ac:dyDescent="0.35">
      <c r="A2" t="s">
        <v>41</v>
      </c>
      <c r="B2" t="s">
        <v>1</v>
      </c>
      <c r="C2" t="s">
        <v>40</v>
      </c>
      <c r="D2" t="s">
        <v>3</v>
      </c>
      <c r="E2" t="s">
        <v>4</v>
      </c>
      <c r="F2" t="s">
        <v>5</v>
      </c>
    </row>
    <row r="3" spans="1:6" x14ac:dyDescent="0.35">
      <c r="A3" s="21">
        <v>72394233.147645101</v>
      </c>
      <c r="B3" s="21">
        <v>1137223.00047686</v>
      </c>
      <c r="C3">
        <v>509412.76799573097</v>
      </c>
      <c r="D3">
        <v>105323.467949318</v>
      </c>
      <c r="E3">
        <v>241228.825818888</v>
      </c>
      <c r="F3" s="21">
        <v>6285691.3207617803</v>
      </c>
    </row>
    <row r="5" spans="1:6" x14ac:dyDescent="0.35">
      <c r="B5" t="s">
        <v>38</v>
      </c>
    </row>
    <row r="6" spans="1:6" x14ac:dyDescent="0.35">
      <c r="A6">
        <v>0</v>
      </c>
      <c r="B6">
        <v>0</v>
      </c>
      <c r="C6">
        <v>0</v>
      </c>
      <c r="D6">
        <v>0</v>
      </c>
      <c r="E6" s="21">
        <v>64434128.572234899</v>
      </c>
      <c r="F6" s="21">
        <v>80785796.369398504</v>
      </c>
    </row>
    <row r="8" spans="1:6" x14ac:dyDescent="0.35">
      <c r="B8" t="s">
        <v>39</v>
      </c>
    </row>
    <row r="9" spans="1:6" x14ac:dyDescent="0.35">
      <c r="A9" s="21">
        <f t="shared" ref="A9:F9" si="0">SUM(A3,A6)</f>
        <v>72394233.147645101</v>
      </c>
      <c r="B9" s="21">
        <f t="shared" si="0"/>
        <v>1137223.00047686</v>
      </c>
      <c r="C9" s="21">
        <f t="shared" si="0"/>
        <v>509412.76799573097</v>
      </c>
      <c r="D9" s="21">
        <f t="shared" si="0"/>
        <v>105323.467949318</v>
      </c>
      <c r="E9" s="21">
        <f t="shared" si="0"/>
        <v>64675357.398053788</v>
      </c>
      <c r="F9" s="21">
        <f t="shared" si="0"/>
        <v>87071487.690160289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233E-7D55-49AE-BBC4-B002DD86310F}">
  <dimension ref="A2:R69"/>
  <sheetViews>
    <sheetView topLeftCell="A47" workbookViewId="0">
      <selection activeCell="C55" sqref="C55"/>
    </sheetView>
  </sheetViews>
  <sheetFormatPr defaultRowHeight="14.5" x14ac:dyDescent="0.35"/>
  <cols>
    <col min="3" max="3" width="32.26953125" customWidth="1"/>
    <col min="4" max="4" width="38.26953125" customWidth="1"/>
    <col min="5" max="5" width="14.453125" customWidth="1"/>
    <col min="7" max="7" width="12" bestFit="1" customWidth="1"/>
    <col min="12" max="12" width="12.81640625" customWidth="1"/>
  </cols>
  <sheetData>
    <row r="2" spans="1:18" x14ac:dyDescent="0.35">
      <c r="C2" s="4" t="s">
        <v>54</v>
      </c>
    </row>
    <row r="3" spans="1:18" x14ac:dyDescent="0.35">
      <c r="A3" s="33" t="s">
        <v>30</v>
      </c>
      <c r="B3" s="24" t="s">
        <v>47</v>
      </c>
    </row>
    <row r="4" spans="1:18" x14ac:dyDescent="0.35">
      <c r="A4" s="33"/>
    </row>
    <row r="5" spans="1:18" x14ac:dyDescent="0.35">
      <c r="A5" s="33" t="s">
        <v>31</v>
      </c>
      <c r="B5" s="24" t="s">
        <v>48</v>
      </c>
    </row>
    <row r="6" spans="1:18" x14ac:dyDescent="0.35">
      <c r="A6" s="33"/>
    </row>
    <row r="7" spans="1:18" x14ac:dyDescent="0.35">
      <c r="A7" s="33" t="s">
        <v>32</v>
      </c>
      <c r="B7" s="24" t="s">
        <v>49</v>
      </c>
    </row>
    <row r="8" spans="1:18" x14ac:dyDescent="0.35">
      <c r="A8" s="33"/>
    </row>
    <row r="11" spans="1:18" x14ac:dyDescent="0.35">
      <c r="B11" s="25" t="s">
        <v>50</v>
      </c>
    </row>
    <row r="12" spans="1:18" x14ac:dyDescent="0.35">
      <c r="B12" t="s">
        <v>52</v>
      </c>
    </row>
    <row r="13" spans="1:18" x14ac:dyDescent="0.35">
      <c r="B13" s="25" t="s">
        <v>44</v>
      </c>
      <c r="C13" s="26">
        <v>14185.6</v>
      </c>
    </row>
    <row r="14" spans="1:18" x14ac:dyDescent="0.35">
      <c r="B14" s="25" t="s">
        <v>42</v>
      </c>
      <c r="C14" s="26">
        <v>13171.8</v>
      </c>
      <c r="R14" s="23"/>
    </row>
    <row r="15" spans="1:18" x14ac:dyDescent="0.35">
      <c r="B15" s="25" t="s">
        <v>43</v>
      </c>
      <c r="C15">
        <v>12813.3</v>
      </c>
      <c r="R15" s="23"/>
    </row>
    <row r="16" spans="1:18" x14ac:dyDescent="0.35">
      <c r="C16" s="26">
        <f>SUM(C13:C15)</f>
        <v>40170.699999999997</v>
      </c>
      <c r="R16" s="23"/>
    </row>
    <row r="19" spans="2:18" x14ac:dyDescent="0.35">
      <c r="B19" t="s">
        <v>51</v>
      </c>
      <c r="F19" t="s">
        <v>53</v>
      </c>
    </row>
    <row r="20" spans="2:18" x14ac:dyDescent="0.35">
      <c r="B20" t="s">
        <v>44</v>
      </c>
      <c r="C20" s="27">
        <v>16123.6</v>
      </c>
      <c r="D20">
        <f>C13/C20</f>
        <v>0.87980351782480337</v>
      </c>
      <c r="F20" t="s">
        <v>44</v>
      </c>
      <c r="G20">
        <v>0</v>
      </c>
      <c r="H20" s="28" t="s">
        <v>45</v>
      </c>
      <c r="J20" s="26">
        <f>C20-G20</f>
        <v>16123.6</v>
      </c>
      <c r="R20" s="22"/>
    </row>
    <row r="21" spans="2:18" x14ac:dyDescent="0.35">
      <c r="B21" t="s">
        <v>42</v>
      </c>
      <c r="C21" s="27">
        <v>13171.8</v>
      </c>
      <c r="D21">
        <f>C14/C21</f>
        <v>1</v>
      </c>
      <c r="F21" t="s">
        <v>42</v>
      </c>
      <c r="G21">
        <v>1011.4</v>
      </c>
      <c r="H21" s="28" t="s">
        <v>46</v>
      </c>
      <c r="J21" s="26">
        <f t="shared" ref="J21:J22" si="0">C21-G21</f>
        <v>12160.4</v>
      </c>
      <c r="R21" s="23"/>
    </row>
    <row r="22" spans="2:18" x14ac:dyDescent="0.35">
      <c r="B22" t="s">
        <v>43</v>
      </c>
      <c r="C22" s="27">
        <v>14180.4</v>
      </c>
      <c r="D22">
        <f>C15/C22</f>
        <v>0.90359228230515354</v>
      </c>
      <c r="F22" t="s">
        <v>43</v>
      </c>
      <c r="G22">
        <v>3004.2</v>
      </c>
      <c r="H22" s="28" t="s">
        <v>46</v>
      </c>
      <c r="J22" s="26">
        <f t="shared" si="0"/>
        <v>11176.2</v>
      </c>
      <c r="R22" s="22"/>
    </row>
    <row r="23" spans="2:18" x14ac:dyDescent="0.35">
      <c r="C23" s="26">
        <f>SUM(C20:C22)</f>
        <v>43475.8</v>
      </c>
      <c r="J23" s="26">
        <f>SUM(J20:J22)</f>
        <v>39460.199999999997</v>
      </c>
    </row>
    <row r="26" spans="2:18" x14ac:dyDescent="0.35">
      <c r="C26" s="4" t="s">
        <v>55</v>
      </c>
    </row>
    <row r="28" spans="2:18" x14ac:dyDescent="0.35">
      <c r="B28" s="25" t="s">
        <v>60</v>
      </c>
    </row>
    <row r="29" spans="2:18" x14ac:dyDescent="0.35">
      <c r="B29" s="29"/>
      <c r="C29" s="29" t="s">
        <v>109</v>
      </c>
      <c r="E29" s="29" t="s">
        <v>110</v>
      </c>
    </row>
    <row r="30" spans="2:18" x14ac:dyDescent="0.35">
      <c r="B30" s="25" t="s">
        <v>44</v>
      </c>
      <c r="C30" s="30">
        <f>C63</f>
        <v>16005.862999999999</v>
      </c>
    </row>
    <row r="31" spans="2:18" x14ac:dyDescent="0.35">
      <c r="B31" s="25" t="s">
        <v>42</v>
      </c>
      <c r="C31" s="30">
        <f>D63</f>
        <v>14828.45</v>
      </c>
      <c r="R31" s="23"/>
    </row>
    <row r="32" spans="2:18" x14ac:dyDescent="0.35">
      <c r="B32" s="25" t="s">
        <v>43</v>
      </c>
      <c r="C32" s="30">
        <f>E63</f>
        <v>14769.92</v>
      </c>
      <c r="R32" s="23"/>
    </row>
    <row r="33" spans="2:18" x14ac:dyDescent="0.35">
      <c r="C33" s="31">
        <f>SUM(C30:C32)</f>
        <v>45604.233</v>
      </c>
      <c r="R33" s="23"/>
    </row>
    <row r="34" spans="2:18" x14ac:dyDescent="0.35">
      <c r="C34" s="28" t="s">
        <v>57</v>
      </c>
    </row>
    <row r="35" spans="2:18" x14ac:dyDescent="0.35">
      <c r="C35" s="29" t="s">
        <v>58</v>
      </c>
    </row>
    <row r="36" spans="2:18" x14ac:dyDescent="0.35">
      <c r="C36" s="29"/>
    </row>
    <row r="37" spans="2:18" x14ac:dyDescent="0.35">
      <c r="B37" s="25" t="s">
        <v>56</v>
      </c>
      <c r="C37" t="s">
        <v>108</v>
      </c>
    </row>
    <row r="38" spans="2:18" x14ac:dyDescent="0.35">
      <c r="B38" s="29" t="s">
        <v>106</v>
      </c>
      <c r="E38">
        <v>0.96</v>
      </c>
    </row>
    <row r="39" spans="2:18" x14ac:dyDescent="0.35">
      <c r="C39" s="29" t="s">
        <v>105</v>
      </c>
      <c r="D39" s="29" t="s">
        <v>107</v>
      </c>
      <c r="E39" s="29" t="s">
        <v>59</v>
      </c>
    </row>
    <row r="40" spans="2:18" x14ac:dyDescent="0.35">
      <c r="B40" t="s">
        <v>44</v>
      </c>
      <c r="C40" s="25">
        <f>19000*E38</f>
        <v>18240</v>
      </c>
      <c r="D40" s="28">
        <f>C62</f>
        <v>16869.86</v>
      </c>
      <c r="H40" s="28"/>
      <c r="J40" s="26"/>
      <c r="R40" s="22"/>
    </row>
    <row r="41" spans="2:18" x14ac:dyDescent="0.35">
      <c r="B41" t="s">
        <v>42</v>
      </c>
      <c r="C41" s="25">
        <f>16000*E38</f>
        <v>15360</v>
      </c>
      <c r="D41" s="28">
        <f>D63</f>
        <v>14828.45</v>
      </c>
      <c r="H41" s="28"/>
      <c r="J41" s="26"/>
      <c r="R41" s="23"/>
    </row>
    <row r="42" spans="2:18" x14ac:dyDescent="0.35">
      <c r="B42" t="s">
        <v>43</v>
      </c>
      <c r="C42" s="25">
        <f>18000*E38</f>
        <v>17280</v>
      </c>
      <c r="D42" s="28">
        <f>E64</f>
        <v>16449.919999999998</v>
      </c>
      <c r="H42" s="28"/>
      <c r="J42" s="26"/>
      <c r="R42" s="22"/>
    </row>
    <row r="43" spans="2:18" x14ac:dyDescent="0.35">
      <c r="C43" s="32">
        <f>SUM(C40:C42)</f>
        <v>50880</v>
      </c>
      <c r="D43" s="35">
        <f>SUM(D40:D42)</f>
        <v>48148.229999999996</v>
      </c>
      <c r="E43" s="4"/>
      <c r="J43" s="26"/>
    </row>
    <row r="46" spans="2:18" x14ac:dyDescent="0.35">
      <c r="B46" t="s">
        <v>104</v>
      </c>
    </row>
    <row r="47" spans="2:18" x14ac:dyDescent="0.35">
      <c r="B47" t="s">
        <v>44</v>
      </c>
      <c r="C47" t="s">
        <v>42</v>
      </c>
      <c r="D47" t="s">
        <v>43</v>
      </c>
    </row>
    <row r="48" spans="2:18" x14ac:dyDescent="0.35">
      <c r="B48" s="25">
        <v>1370.14</v>
      </c>
      <c r="C48">
        <v>531.54999999999995</v>
      </c>
      <c r="D48" s="25">
        <v>830.08</v>
      </c>
    </row>
    <row r="49" spans="2:10" x14ac:dyDescent="0.35">
      <c r="B49">
        <v>1370.1369999999999</v>
      </c>
      <c r="C49">
        <v>531.54999999999995</v>
      </c>
      <c r="D49" s="25">
        <v>830.08</v>
      </c>
    </row>
    <row r="50" spans="2:10" x14ac:dyDescent="0.35">
      <c r="B50">
        <v>1370.1369999999999</v>
      </c>
      <c r="C50">
        <v>531.54999999999995</v>
      </c>
      <c r="D50" s="25">
        <v>830.08</v>
      </c>
    </row>
    <row r="53" spans="2:10" x14ac:dyDescent="0.35">
      <c r="C53" s="4" t="s">
        <v>119</v>
      </c>
    </row>
    <row r="54" spans="2:10" x14ac:dyDescent="0.35">
      <c r="C54" s="4" t="s">
        <v>30</v>
      </c>
      <c r="D54" s="4" t="s">
        <v>31</v>
      </c>
      <c r="E54" s="4" t="s">
        <v>32</v>
      </c>
    </row>
    <row r="55" spans="2:10" x14ac:dyDescent="0.35">
      <c r="B55" t="s">
        <v>111</v>
      </c>
      <c r="C55">
        <v>18240</v>
      </c>
      <c r="D55">
        <f>13824</f>
        <v>13824</v>
      </c>
      <c r="E55">
        <f>15552</f>
        <v>15552</v>
      </c>
    </row>
    <row r="56" spans="2:10" x14ac:dyDescent="0.35">
      <c r="B56" t="s">
        <v>112</v>
      </c>
      <c r="C56">
        <v>17376</v>
      </c>
      <c r="D56">
        <v>15360</v>
      </c>
      <c r="E56">
        <v>15600</v>
      </c>
      <c r="H56">
        <f>16238+1042</f>
        <v>17280</v>
      </c>
      <c r="J56">
        <f>0.96*18000</f>
        <v>17280</v>
      </c>
    </row>
    <row r="57" spans="2:10" x14ac:dyDescent="0.35">
      <c r="B57" t="s">
        <v>113</v>
      </c>
      <c r="C57">
        <v>16416</v>
      </c>
      <c r="D57">
        <v>13824</v>
      </c>
      <c r="E57">
        <v>17280</v>
      </c>
    </row>
    <row r="60" spans="2:10" x14ac:dyDescent="0.35">
      <c r="C60" s="4" t="s">
        <v>118</v>
      </c>
      <c r="D60" t="s">
        <v>114</v>
      </c>
    </row>
    <row r="61" spans="2:10" x14ac:dyDescent="0.35">
      <c r="C61" s="4" t="s">
        <v>30</v>
      </c>
      <c r="D61" s="4" t="s">
        <v>31</v>
      </c>
      <c r="E61" s="4" t="s">
        <v>32</v>
      </c>
      <c r="G61" t="s">
        <v>115</v>
      </c>
    </row>
    <row r="62" spans="2:10" x14ac:dyDescent="0.35">
      <c r="B62" t="s">
        <v>111</v>
      </c>
      <c r="C62">
        <f>C55-B48</f>
        <v>16869.86</v>
      </c>
      <c r="D62">
        <f>D55-C48</f>
        <v>13292.45</v>
      </c>
      <c r="E62">
        <f>E55-D48</f>
        <v>14721.92</v>
      </c>
      <c r="G62">
        <f>SUM(C62:E62)</f>
        <v>44884.23</v>
      </c>
    </row>
    <row r="63" spans="2:10" x14ac:dyDescent="0.35">
      <c r="B63" t="s">
        <v>112</v>
      </c>
      <c r="C63">
        <f>C56-B49</f>
        <v>16005.862999999999</v>
      </c>
      <c r="D63">
        <f t="shared" ref="D63:E63" si="1">D56-C49</f>
        <v>14828.45</v>
      </c>
      <c r="E63">
        <f t="shared" si="1"/>
        <v>14769.92</v>
      </c>
      <c r="G63">
        <f t="shared" ref="G63:G64" si="2">SUM(C63:E63)</f>
        <v>45604.233</v>
      </c>
      <c r="H63" s="28" t="s">
        <v>116</v>
      </c>
    </row>
    <row r="64" spans="2:10" x14ac:dyDescent="0.35">
      <c r="B64" t="s">
        <v>113</v>
      </c>
      <c r="C64">
        <f>C57-B50</f>
        <v>15045.862999999999</v>
      </c>
      <c r="D64">
        <f t="shared" ref="D64:E64" si="3">D57-C50</f>
        <v>13292.45</v>
      </c>
      <c r="E64">
        <f t="shared" si="3"/>
        <v>16449.919999999998</v>
      </c>
      <c r="G64">
        <f t="shared" si="2"/>
        <v>44788.233</v>
      </c>
    </row>
    <row r="66" spans="2:8" x14ac:dyDescent="0.35">
      <c r="C66" s="4" t="s">
        <v>117</v>
      </c>
    </row>
    <row r="67" spans="2:8" x14ac:dyDescent="0.35">
      <c r="B67" t="s">
        <v>111</v>
      </c>
      <c r="C67">
        <f>C62/C63</f>
        <v>1.0539800321919537</v>
      </c>
      <c r="D67">
        <f>D62/D63</f>
        <v>0.89641533673445306</v>
      </c>
      <c r="E67">
        <f>E62/E63</f>
        <v>0.99675015165958925</v>
      </c>
    </row>
    <row r="68" spans="2:8" x14ac:dyDescent="0.35">
      <c r="B68" t="s">
        <v>112</v>
      </c>
      <c r="C68">
        <f>C63/C63</f>
        <v>1</v>
      </c>
      <c r="D68">
        <f>D63/D63</f>
        <v>1</v>
      </c>
      <c r="E68">
        <f>E63/E63</f>
        <v>1</v>
      </c>
      <c r="H68" s="28" t="s">
        <v>116</v>
      </c>
    </row>
    <row r="69" spans="2:8" x14ac:dyDescent="0.35">
      <c r="B69" t="s">
        <v>113</v>
      </c>
      <c r="C69">
        <f>C64/C63</f>
        <v>0.94002197819636468</v>
      </c>
      <c r="D69">
        <f>D64/D63</f>
        <v>0.89641533673445306</v>
      </c>
      <c r="E69">
        <f>E64/E63</f>
        <v>1.1137446919143772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58EC-70F4-4B8F-AC2A-15E8D81F002D}">
  <dimension ref="B3:Q58"/>
  <sheetViews>
    <sheetView tabSelected="1" topLeftCell="A3" workbookViewId="0">
      <selection activeCell="E11" sqref="E11"/>
    </sheetView>
  </sheetViews>
  <sheetFormatPr defaultRowHeight="14.5" x14ac:dyDescent="0.35"/>
  <cols>
    <col min="2" max="2" width="12.453125" customWidth="1"/>
    <col min="3" max="3" width="16.54296875" customWidth="1"/>
    <col min="5" max="5" width="20" customWidth="1"/>
    <col min="6" max="6" width="23" customWidth="1"/>
    <col min="7" max="7" width="22.1796875" customWidth="1"/>
    <col min="8" max="8" width="10" bestFit="1" customWidth="1"/>
    <col min="9" max="10" width="12" bestFit="1" customWidth="1"/>
    <col min="11" max="12" width="15.7265625" customWidth="1"/>
    <col min="13" max="13" width="12" bestFit="1" customWidth="1"/>
  </cols>
  <sheetData>
    <row r="3" spans="2:17" x14ac:dyDescent="0.35">
      <c r="B3" s="12" t="s">
        <v>27</v>
      </c>
    </row>
    <row r="4" spans="2:17" x14ac:dyDescent="0.35">
      <c r="B4" t="s">
        <v>15</v>
      </c>
      <c r="C4" t="s">
        <v>16</v>
      </c>
      <c r="D4" t="s">
        <v>17</v>
      </c>
      <c r="E4" t="s">
        <v>15</v>
      </c>
    </row>
    <row r="5" spans="2:17" x14ac:dyDescent="0.35">
      <c r="C5" t="s">
        <v>18</v>
      </c>
      <c r="D5" t="s">
        <v>19</v>
      </c>
      <c r="E5">
        <v>-454</v>
      </c>
      <c r="F5">
        <v>574.29999999999995</v>
      </c>
    </row>
    <row r="6" spans="2:17" x14ac:dyDescent="0.35">
      <c r="C6" t="s">
        <v>20</v>
      </c>
      <c r="D6" t="s">
        <v>21</v>
      </c>
      <c r="E6">
        <v>196.7</v>
      </c>
      <c r="F6">
        <v>-76.3</v>
      </c>
    </row>
    <row r="7" spans="2:17" x14ac:dyDescent="0.35">
      <c r="C7" t="s">
        <v>22</v>
      </c>
      <c r="D7" t="s">
        <v>23</v>
      </c>
      <c r="E7">
        <v>740.3</v>
      </c>
      <c r="F7">
        <v>-620</v>
      </c>
    </row>
    <row r="8" spans="2:17" x14ac:dyDescent="0.35">
      <c r="B8" t="s">
        <v>24</v>
      </c>
      <c r="C8" t="s">
        <v>320</v>
      </c>
      <c r="D8" t="s">
        <v>321</v>
      </c>
      <c r="E8" t="s">
        <v>322</v>
      </c>
      <c r="F8" t="s">
        <v>323</v>
      </c>
      <c r="G8" t="s">
        <v>324</v>
      </c>
      <c r="H8" t="s">
        <v>325</v>
      </c>
    </row>
    <row r="9" spans="2:17" x14ac:dyDescent="0.35">
      <c r="B9" t="s">
        <v>24</v>
      </c>
      <c r="C9" t="s">
        <v>25</v>
      </c>
      <c r="D9" t="s">
        <v>19</v>
      </c>
      <c r="E9" t="s">
        <v>26</v>
      </c>
      <c r="F9" t="s">
        <v>326</v>
      </c>
      <c r="G9" t="s">
        <v>321</v>
      </c>
      <c r="H9" t="s">
        <v>20</v>
      </c>
      <c r="I9" t="s">
        <v>21</v>
      </c>
      <c r="J9" t="s">
        <v>26</v>
      </c>
      <c r="K9" t="s">
        <v>322</v>
      </c>
      <c r="L9" t="s">
        <v>323</v>
      </c>
      <c r="M9" t="s">
        <v>22</v>
      </c>
      <c r="N9" t="s">
        <v>23</v>
      </c>
      <c r="O9" t="s">
        <v>26</v>
      </c>
      <c r="P9" t="s">
        <v>324</v>
      </c>
      <c r="Q9" t="s">
        <v>327</v>
      </c>
    </row>
    <row r="12" spans="2:17" x14ac:dyDescent="0.35">
      <c r="B12" s="12" t="s">
        <v>28</v>
      </c>
    </row>
    <row r="13" spans="2:17" x14ac:dyDescent="0.35">
      <c r="B13" t="s">
        <v>15</v>
      </c>
      <c r="C13" t="s">
        <v>16</v>
      </c>
      <c r="D13" t="s">
        <v>17</v>
      </c>
      <c r="E13" t="s">
        <v>15</v>
      </c>
    </row>
    <row r="14" spans="2:17" x14ac:dyDescent="0.35">
      <c r="C14" t="s">
        <v>18</v>
      </c>
      <c r="D14" t="s">
        <v>19</v>
      </c>
      <c r="E14">
        <v>-28.1</v>
      </c>
      <c r="F14">
        <v>28.6</v>
      </c>
    </row>
    <row r="15" spans="2:17" x14ac:dyDescent="0.35">
      <c r="C15" t="s">
        <v>20</v>
      </c>
      <c r="D15" t="s">
        <v>21</v>
      </c>
      <c r="E15">
        <v>694.4</v>
      </c>
      <c r="F15">
        <v>-693.9</v>
      </c>
    </row>
    <row r="16" spans="2:17" x14ac:dyDescent="0.35">
      <c r="C16" t="s">
        <v>22</v>
      </c>
      <c r="D16" t="s">
        <v>23</v>
      </c>
      <c r="E16">
        <v>-177.1</v>
      </c>
      <c r="F16">
        <v>177.6</v>
      </c>
    </row>
    <row r="17" spans="2:17" x14ac:dyDescent="0.35">
      <c r="B17" t="s">
        <v>24</v>
      </c>
      <c r="C17" t="s">
        <v>312</v>
      </c>
      <c r="D17" t="s">
        <v>313</v>
      </c>
      <c r="E17" t="s">
        <v>314</v>
      </c>
      <c r="F17" t="s">
        <v>315</v>
      </c>
      <c r="G17" t="s">
        <v>316</v>
      </c>
      <c r="H17" t="s">
        <v>317</v>
      </c>
    </row>
    <row r="18" spans="2:17" x14ac:dyDescent="0.35">
      <c r="B18" t="s">
        <v>24</v>
      </c>
      <c r="C18" t="s">
        <v>25</v>
      </c>
      <c r="D18" t="s">
        <v>19</v>
      </c>
      <c r="E18" t="s">
        <v>26</v>
      </c>
      <c r="F18" t="s">
        <v>318</v>
      </c>
      <c r="G18" t="s">
        <v>313</v>
      </c>
      <c r="H18" t="s">
        <v>20</v>
      </c>
      <c r="I18" t="s">
        <v>21</v>
      </c>
      <c r="J18" t="s">
        <v>26</v>
      </c>
      <c r="K18" t="s">
        <v>314</v>
      </c>
      <c r="L18" t="s">
        <v>315</v>
      </c>
      <c r="M18" t="s">
        <v>22</v>
      </c>
      <c r="N18" t="s">
        <v>23</v>
      </c>
      <c r="O18" t="s">
        <v>26</v>
      </c>
      <c r="P18" t="s">
        <v>316</v>
      </c>
      <c r="Q18" t="s">
        <v>319</v>
      </c>
    </row>
    <row r="21" spans="2:17" x14ac:dyDescent="0.35">
      <c r="B21" s="12" t="s">
        <v>29</v>
      </c>
    </row>
    <row r="22" spans="2:17" x14ac:dyDescent="0.35">
      <c r="B22" t="s">
        <v>15</v>
      </c>
      <c r="C22" t="s">
        <v>16</v>
      </c>
      <c r="D22" t="s">
        <v>17</v>
      </c>
      <c r="E22" t="s">
        <v>15</v>
      </c>
    </row>
    <row r="23" spans="2:17" x14ac:dyDescent="0.35">
      <c r="C23" t="s">
        <v>18</v>
      </c>
      <c r="D23" t="s">
        <v>19</v>
      </c>
      <c r="E23">
        <v>295.5</v>
      </c>
      <c r="F23">
        <v>17.2</v>
      </c>
    </row>
    <row r="24" spans="2:17" x14ac:dyDescent="0.35">
      <c r="C24" t="s">
        <v>20</v>
      </c>
      <c r="D24" t="s">
        <v>21</v>
      </c>
      <c r="E24">
        <v>-105.2</v>
      </c>
      <c r="F24">
        <v>355.3</v>
      </c>
    </row>
    <row r="25" spans="2:17" x14ac:dyDescent="0.35">
      <c r="C25" t="s">
        <v>22</v>
      </c>
      <c r="D25" t="s">
        <v>23</v>
      </c>
      <c r="E25">
        <v>309.7</v>
      </c>
      <c r="F25">
        <v>-101.2</v>
      </c>
    </row>
    <row r="26" spans="2:17" x14ac:dyDescent="0.35">
      <c r="B26" t="s">
        <v>24</v>
      </c>
      <c r="C26" t="s">
        <v>328</v>
      </c>
      <c r="D26" t="s">
        <v>329</v>
      </c>
      <c r="E26" t="s">
        <v>330</v>
      </c>
      <c r="F26" t="s">
        <v>331</v>
      </c>
      <c r="G26" t="s">
        <v>332</v>
      </c>
      <c r="H26" t="s">
        <v>333</v>
      </c>
    </row>
    <row r="27" spans="2:17" x14ac:dyDescent="0.35">
      <c r="B27" t="s">
        <v>24</v>
      </c>
      <c r="C27" t="s">
        <v>25</v>
      </c>
      <c r="D27" t="s">
        <v>19</v>
      </c>
      <c r="E27" t="s">
        <v>26</v>
      </c>
      <c r="F27" t="s">
        <v>334</v>
      </c>
      <c r="G27" t="s">
        <v>329</v>
      </c>
      <c r="H27" t="s">
        <v>20</v>
      </c>
      <c r="I27" t="s">
        <v>21</v>
      </c>
      <c r="J27" t="s">
        <v>26</v>
      </c>
      <c r="K27" t="s">
        <v>330</v>
      </c>
      <c r="L27" t="s">
        <v>331</v>
      </c>
      <c r="M27" t="s">
        <v>22</v>
      </c>
      <c r="N27" t="s">
        <v>23</v>
      </c>
      <c r="O27" t="s">
        <v>26</v>
      </c>
      <c r="P27" t="s">
        <v>332</v>
      </c>
      <c r="Q27" t="s">
        <v>335</v>
      </c>
    </row>
    <row r="33" spans="2:15" s="34" customFormat="1" x14ac:dyDescent="0.35"/>
    <row r="35" spans="2:15" x14ac:dyDescent="0.35">
      <c r="B35" t="s">
        <v>85</v>
      </c>
      <c r="C35" t="s">
        <v>98</v>
      </c>
    </row>
    <row r="36" spans="2:15" x14ac:dyDescent="0.35">
      <c r="B36" t="s">
        <v>99</v>
      </c>
      <c r="C36" t="s">
        <v>100</v>
      </c>
      <c r="D36" t="s">
        <v>88</v>
      </c>
      <c r="E36" t="s">
        <v>89</v>
      </c>
      <c r="F36" t="s">
        <v>90</v>
      </c>
    </row>
    <row r="37" spans="2:15" x14ac:dyDescent="0.35">
      <c r="C37" t="s">
        <v>91</v>
      </c>
      <c r="D37" t="s">
        <v>92</v>
      </c>
      <c r="E37" s="13">
        <v>4.3749999999999997E-2</v>
      </c>
    </row>
    <row r="38" spans="2:15" x14ac:dyDescent="0.35">
      <c r="C38" t="s">
        <v>91</v>
      </c>
      <c r="D38" t="s">
        <v>101</v>
      </c>
      <c r="E38" s="13">
        <v>4.4444444444444446E-2</v>
      </c>
    </row>
    <row r="39" spans="2:15" ht="24.75" customHeight="1" x14ac:dyDescent="0.35">
      <c r="B39" t="s">
        <v>93</v>
      </c>
      <c r="C39" t="s">
        <v>94</v>
      </c>
      <c r="D39" t="s">
        <v>95</v>
      </c>
      <c r="E39" t="s">
        <v>121</v>
      </c>
      <c r="F39" t="s">
        <v>102</v>
      </c>
    </row>
    <row r="40" spans="2:15" x14ac:dyDescent="0.35">
      <c r="C40">
        <v>8435.2199999999993</v>
      </c>
      <c r="D40">
        <v>8435.2199999999993</v>
      </c>
      <c r="E40">
        <v>13293.2</v>
      </c>
      <c r="F40">
        <v>14722.4</v>
      </c>
      <c r="G40">
        <f>SUM(C40:F40)</f>
        <v>44886.04</v>
      </c>
      <c r="H40" s="4"/>
    </row>
    <row r="41" spans="2:15" x14ac:dyDescent="0.35">
      <c r="C41">
        <v>8003.21</v>
      </c>
      <c r="D41">
        <v>8003.21</v>
      </c>
      <c r="E41">
        <v>14829.2</v>
      </c>
      <c r="F41">
        <v>14770.4</v>
      </c>
      <c r="G41">
        <f t="shared" ref="G41:G42" si="0">SUM(C41:F41)</f>
        <v>45606.020000000004</v>
      </c>
      <c r="H41" s="4"/>
    </row>
    <row r="42" spans="2:15" x14ac:dyDescent="0.35">
      <c r="C42">
        <v>7523.19</v>
      </c>
      <c r="D42">
        <v>7523.19</v>
      </c>
      <c r="E42">
        <v>13293.2</v>
      </c>
      <c r="F42">
        <v>16450.400000000001</v>
      </c>
      <c r="G42">
        <f t="shared" si="0"/>
        <v>44789.98</v>
      </c>
      <c r="H42" s="4"/>
      <c r="O42" s="4"/>
    </row>
    <row r="51" spans="2:9" x14ac:dyDescent="0.35">
      <c r="B51" s="4"/>
      <c r="G51" s="25"/>
      <c r="I51" s="25"/>
    </row>
    <row r="52" spans="2:9" x14ac:dyDescent="0.35">
      <c r="B52" s="4"/>
      <c r="I52" s="25"/>
    </row>
    <row r="53" spans="2:9" x14ac:dyDescent="0.35">
      <c r="B53" s="4"/>
      <c r="I53" s="25"/>
    </row>
    <row r="56" spans="2:9" x14ac:dyDescent="0.35">
      <c r="B56" s="4"/>
    </row>
    <row r="57" spans="2:9" x14ac:dyDescent="0.35">
      <c r="B57" s="4"/>
    </row>
    <row r="58" spans="2:9" x14ac:dyDescent="0.35">
      <c r="B5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23AD-DE28-4857-9856-47DAC7568E1A}">
  <dimension ref="A2:U76"/>
  <sheetViews>
    <sheetView topLeftCell="A49" zoomScaleNormal="100" workbookViewId="0">
      <selection activeCell="K65" sqref="K65"/>
    </sheetView>
  </sheetViews>
  <sheetFormatPr defaultRowHeight="14.5" x14ac:dyDescent="0.35"/>
  <cols>
    <col min="3" max="3" width="32.26953125" customWidth="1"/>
    <col min="4" max="4" width="38.26953125" customWidth="1"/>
    <col min="5" max="7" width="14.453125" customWidth="1"/>
    <col min="9" max="9" width="12" bestFit="1" customWidth="1"/>
    <col min="10" max="10" width="12" customWidth="1"/>
    <col min="13" max="13" width="12" bestFit="1" customWidth="1"/>
    <col min="14" max="14" width="10" bestFit="1" customWidth="1"/>
    <col min="15" max="15" width="12.81640625" customWidth="1"/>
  </cols>
  <sheetData>
    <row r="2" spans="1:21" x14ac:dyDescent="0.35">
      <c r="C2" s="4" t="s">
        <v>54</v>
      </c>
    </row>
    <row r="3" spans="1:21" x14ac:dyDescent="0.35">
      <c r="A3" s="33" t="s">
        <v>30</v>
      </c>
      <c r="B3" s="24" t="s">
        <v>47</v>
      </c>
    </row>
    <row r="4" spans="1:21" x14ac:dyDescent="0.35">
      <c r="A4" s="33"/>
    </row>
    <row r="5" spans="1:21" x14ac:dyDescent="0.35">
      <c r="A5" s="33" t="s">
        <v>31</v>
      </c>
      <c r="B5" s="24" t="s">
        <v>48</v>
      </c>
    </row>
    <row r="6" spans="1:21" x14ac:dyDescent="0.35">
      <c r="A6" s="33"/>
    </row>
    <row r="7" spans="1:21" x14ac:dyDescent="0.35">
      <c r="A7" s="33" t="s">
        <v>32</v>
      </c>
      <c r="B7" s="24" t="s">
        <v>49</v>
      </c>
    </row>
    <row r="8" spans="1:21" x14ac:dyDescent="0.35">
      <c r="A8" s="33"/>
    </row>
    <row r="11" spans="1:21" x14ac:dyDescent="0.35">
      <c r="B11" s="25" t="s">
        <v>50</v>
      </c>
    </row>
    <row r="12" spans="1:21" x14ac:dyDescent="0.35">
      <c r="B12" t="s">
        <v>52</v>
      </c>
    </row>
    <row r="13" spans="1:21" x14ac:dyDescent="0.35">
      <c r="B13" s="25" t="s">
        <v>44</v>
      </c>
      <c r="C13" s="26">
        <v>14185.6</v>
      </c>
    </row>
    <row r="14" spans="1:21" x14ac:dyDescent="0.35">
      <c r="B14" s="25" t="s">
        <v>42</v>
      </c>
      <c r="C14" s="26">
        <v>13171.8</v>
      </c>
      <c r="U14" s="23"/>
    </row>
    <row r="15" spans="1:21" x14ac:dyDescent="0.35">
      <c r="B15" s="25" t="s">
        <v>43</v>
      </c>
      <c r="C15">
        <v>12813.3</v>
      </c>
      <c r="U15" s="23"/>
    </row>
    <row r="16" spans="1:21" x14ac:dyDescent="0.35">
      <c r="C16" s="26">
        <f>SUM(C13:C15)</f>
        <v>40170.699999999997</v>
      </c>
      <c r="U16" s="23"/>
    </row>
    <row r="19" spans="2:21" x14ac:dyDescent="0.35">
      <c r="B19" t="s">
        <v>51</v>
      </c>
      <c r="H19" t="s">
        <v>53</v>
      </c>
    </row>
    <row r="20" spans="2:21" x14ac:dyDescent="0.35">
      <c r="B20" t="s">
        <v>44</v>
      </c>
      <c r="C20" s="27">
        <v>16123.6</v>
      </c>
      <c r="D20">
        <f>C13/C20</f>
        <v>0.87980351782480337</v>
      </c>
      <c r="H20" t="s">
        <v>44</v>
      </c>
      <c r="I20">
        <v>0</v>
      </c>
      <c r="K20" s="28" t="s">
        <v>45</v>
      </c>
      <c r="M20" s="26">
        <f>C20-I20</f>
        <v>16123.6</v>
      </c>
      <c r="U20" s="22"/>
    </row>
    <row r="21" spans="2:21" x14ac:dyDescent="0.35">
      <c r="B21" t="s">
        <v>42</v>
      </c>
      <c r="C21" s="27">
        <v>13171.8</v>
      </c>
      <c r="D21">
        <f>C14/C21</f>
        <v>1</v>
      </c>
      <c r="H21" t="s">
        <v>42</v>
      </c>
      <c r="I21">
        <v>1011.4</v>
      </c>
      <c r="K21" s="28" t="s">
        <v>46</v>
      </c>
      <c r="M21" s="26">
        <f t="shared" ref="M21:M22" si="0">C21-I21</f>
        <v>12160.4</v>
      </c>
      <c r="U21" s="23"/>
    </row>
    <row r="22" spans="2:21" x14ac:dyDescent="0.35">
      <c r="B22" t="s">
        <v>43</v>
      </c>
      <c r="C22" s="27">
        <v>14180.4</v>
      </c>
      <c r="D22">
        <f>C15/C22</f>
        <v>0.90359228230515354</v>
      </c>
      <c r="H22" t="s">
        <v>43</v>
      </c>
      <c r="I22">
        <v>3004.2</v>
      </c>
      <c r="K22" s="28" t="s">
        <v>46</v>
      </c>
      <c r="M22" s="26">
        <f t="shared" si="0"/>
        <v>11176.2</v>
      </c>
      <c r="U22" s="22"/>
    </row>
    <row r="23" spans="2:21" x14ac:dyDescent="0.35">
      <c r="C23" s="26">
        <f>SUM(C20:C22)</f>
        <v>43475.8</v>
      </c>
      <c r="M23" s="26">
        <f>SUM(M20:M22)</f>
        <v>39460.199999999997</v>
      </c>
    </row>
    <row r="26" spans="2:21" x14ac:dyDescent="0.35">
      <c r="C26" s="4" t="s">
        <v>55</v>
      </c>
    </row>
    <row r="28" spans="2:21" x14ac:dyDescent="0.35">
      <c r="B28" s="25" t="s">
        <v>60</v>
      </c>
    </row>
    <row r="29" spans="2:21" x14ac:dyDescent="0.35">
      <c r="B29" s="29"/>
      <c r="C29" s="29" t="s">
        <v>109</v>
      </c>
      <c r="E29" s="29" t="s">
        <v>110</v>
      </c>
      <c r="F29" s="29"/>
      <c r="G29" s="29"/>
    </row>
    <row r="30" spans="2:21" x14ac:dyDescent="0.35">
      <c r="B30" s="25" t="s">
        <v>44</v>
      </c>
      <c r="C30" s="30">
        <f>C63</f>
        <v>16005.862999999999</v>
      </c>
    </row>
    <row r="31" spans="2:21" x14ac:dyDescent="0.35">
      <c r="B31" s="25" t="s">
        <v>42</v>
      </c>
      <c r="C31" s="30">
        <f>D63</f>
        <v>14828.45</v>
      </c>
      <c r="U31" s="23"/>
    </row>
    <row r="32" spans="2:21" x14ac:dyDescent="0.35">
      <c r="B32" s="25" t="s">
        <v>43</v>
      </c>
      <c r="C32" s="30">
        <f>E63</f>
        <v>14769.92</v>
      </c>
      <c r="U32" s="23"/>
    </row>
    <row r="33" spans="2:21" x14ac:dyDescent="0.35">
      <c r="C33" s="31">
        <f>SUM(C30:C32)</f>
        <v>45604.233</v>
      </c>
      <c r="U33" s="23"/>
    </row>
    <row r="34" spans="2:21" x14ac:dyDescent="0.35">
      <c r="C34" s="28" t="s">
        <v>57</v>
      </c>
    </row>
    <row r="35" spans="2:21" x14ac:dyDescent="0.35">
      <c r="C35" s="29" t="s">
        <v>58</v>
      </c>
    </row>
    <row r="36" spans="2:21" x14ac:dyDescent="0.35">
      <c r="C36" s="29"/>
    </row>
    <row r="37" spans="2:21" x14ac:dyDescent="0.35">
      <c r="B37" s="25" t="s">
        <v>56</v>
      </c>
      <c r="C37" t="s">
        <v>108</v>
      </c>
    </row>
    <row r="38" spans="2:21" x14ac:dyDescent="0.35">
      <c r="B38" s="29" t="s">
        <v>106</v>
      </c>
      <c r="E38">
        <v>1</v>
      </c>
    </row>
    <row r="39" spans="2:21" x14ac:dyDescent="0.35">
      <c r="C39" s="29" t="s">
        <v>105</v>
      </c>
      <c r="D39" s="29" t="s">
        <v>107</v>
      </c>
      <c r="E39" s="29" t="s">
        <v>59</v>
      </c>
      <c r="F39" s="29"/>
      <c r="G39" s="29"/>
      <c r="I39" s="28" t="s">
        <v>116</v>
      </c>
      <c r="J39" s="28"/>
    </row>
    <row r="40" spans="2:21" x14ac:dyDescent="0.35">
      <c r="B40" t="s">
        <v>44</v>
      </c>
      <c r="C40" s="25">
        <f>19000</f>
        <v>19000</v>
      </c>
      <c r="D40" s="28">
        <f>C62</f>
        <v>16869.86</v>
      </c>
      <c r="I40">
        <f>D40/D43</f>
        <v>0.35037341974980185</v>
      </c>
      <c r="K40" s="28"/>
      <c r="M40" s="26"/>
      <c r="U40" s="22"/>
    </row>
    <row r="41" spans="2:21" x14ac:dyDescent="0.35">
      <c r="B41" t="s">
        <v>42</v>
      </c>
      <c r="C41" s="25">
        <f>16000</f>
        <v>16000</v>
      </c>
      <c r="D41" s="28">
        <f>D63</f>
        <v>14828.45</v>
      </c>
      <c r="I41">
        <f>D41/D43</f>
        <v>0.30797497644254007</v>
      </c>
      <c r="K41" s="28"/>
      <c r="M41" s="26"/>
      <c r="U41" s="23"/>
    </row>
    <row r="42" spans="2:21" x14ac:dyDescent="0.35">
      <c r="B42" t="s">
        <v>43</v>
      </c>
      <c r="C42" s="25">
        <f>18000</f>
        <v>18000</v>
      </c>
      <c r="D42" s="28">
        <f>E64</f>
        <v>16449.919999999998</v>
      </c>
      <c r="I42">
        <f>D42/D43</f>
        <v>0.34165160380765813</v>
      </c>
      <c r="K42" s="28"/>
      <c r="M42" s="26"/>
      <c r="U42" s="22"/>
    </row>
    <row r="43" spans="2:21" x14ac:dyDescent="0.35">
      <c r="C43" s="32">
        <f>SUM(C40:C42)</f>
        <v>53000</v>
      </c>
      <c r="D43" s="35">
        <f>SUM(D40:D42)</f>
        <v>48148.229999999996</v>
      </c>
      <c r="E43" s="4"/>
      <c r="F43" s="4"/>
      <c r="G43" s="4"/>
      <c r="I43">
        <f>SUM(I40:I42)</f>
        <v>1</v>
      </c>
      <c r="M43" s="26"/>
    </row>
    <row r="46" spans="2:21" x14ac:dyDescent="0.35">
      <c r="B46" t="s">
        <v>104</v>
      </c>
    </row>
    <row r="47" spans="2:21" x14ac:dyDescent="0.35">
      <c r="B47" t="s">
        <v>44</v>
      </c>
      <c r="C47" t="s">
        <v>42</v>
      </c>
      <c r="D47" t="s">
        <v>43</v>
      </c>
    </row>
    <row r="48" spans="2:21" x14ac:dyDescent="0.35">
      <c r="B48" s="25">
        <v>1370.14</v>
      </c>
      <c r="C48">
        <v>531.54999999999995</v>
      </c>
      <c r="D48" s="25">
        <v>830.08</v>
      </c>
    </row>
    <row r="49" spans="2:14" x14ac:dyDescent="0.35">
      <c r="B49">
        <v>1370.1369999999999</v>
      </c>
      <c r="C49">
        <v>531.54999999999995</v>
      </c>
      <c r="D49" s="25">
        <v>830.08</v>
      </c>
    </row>
    <row r="50" spans="2:14" x14ac:dyDescent="0.35">
      <c r="B50">
        <v>1370.1369999999999</v>
      </c>
      <c r="C50">
        <v>531.54999999999995</v>
      </c>
      <c r="D50" s="25">
        <v>830.08</v>
      </c>
    </row>
    <row r="53" spans="2:14" x14ac:dyDescent="0.35">
      <c r="C53" s="4" t="s">
        <v>119</v>
      </c>
    </row>
    <row r="54" spans="2:14" x14ac:dyDescent="0.35">
      <c r="C54" s="4" t="s">
        <v>30</v>
      </c>
      <c r="D54" s="4" t="s">
        <v>31</v>
      </c>
      <c r="E54" s="4" t="s">
        <v>32</v>
      </c>
      <c r="F54" s="4"/>
      <c r="G54" s="4"/>
    </row>
    <row r="55" spans="2:14" x14ac:dyDescent="0.35">
      <c r="B55" t="s">
        <v>111</v>
      </c>
      <c r="C55">
        <f>18240/$E$38</f>
        <v>18240</v>
      </c>
      <c r="D55">
        <f>13824/E38</f>
        <v>13824</v>
      </c>
      <c r="E55">
        <f>15552/E38</f>
        <v>15552</v>
      </c>
      <c r="K55" s="48" t="s">
        <v>275</v>
      </c>
    </row>
    <row r="56" spans="2:14" x14ac:dyDescent="0.35">
      <c r="B56" t="s">
        <v>112</v>
      </c>
      <c r="C56">
        <f>17376/E38</f>
        <v>17376</v>
      </c>
      <c r="D56">
        <f>15360/E38</f>
        <v>15360</v>
      </c>
      <c r="E56">
        <f>15600/E38</f>
        <v>15600</v>
      </c>
      <c r="I56" t="s">
        <v>30</v>
      </c>
      <c r="J56" s="4" t="s">
        <v>276</v>
      </c>
      <c r="K56" s="46">
        <v>1378</v>
      </c>
      <c r="M56">
        <f>J62-K56</f>
        <v>14777.440911445083</v>
      </c>
    </row>
    <row r="57" spans="2:14" x14ac:dyDescent="0.35">
      <c r="B57" t="s">
        <v>113</v>
      </c>
      <c r="C57">
        <f>16416/E38</f>
        <v>16416</v>
      </c>
      <c r="D57">
        <f>13824/E38</f>
        <v>13824</v>
      </c>
      <c r="E57">
        <f>17280/E38</f>
        <v>17280</v>
      </c>
      <c r="I57" t="s">
        <v>31</v>
      </c>
      <c r="J57" s="4" t="s">
        <v>277</v>
      </c>
      <c r="K57" s="46">
        <v>873</v>
      </c>
      <c r="M57">
        <f>J63-K57</f>
        <v>13083.251581205526</v>
      </c>
    </row>
    <row r="58" spans="2:14" x14ac:dyDescent="0.35">
      <c r="I58" t="s">
        <v>32</v>
      </c>
      <c r="J58" s="4" t="s">
        <v>278</v>
      </c>
      <c r="K58" s="46">
        <v>1255</v>
      </c>
      <c r="M58">
        <f>J64-K58</f>
        <v>14237.540507349388</v>
      </c>
    </row>
    <row r="60" spans="2:14" x14ac:dyDescent="0.35">
      <c r="C60" s="4" t="s">
        <v>118</v>
      </c>
      <c r="D60" t="s">
        <v>114</v>
      </c>
      <c r="N60" s="28" t="s">
        <v>116</v>
      </c>
    </row>
    <row r="61" spans="2:14" x14ac:dyDescent="0.35">
      <c r="C61" s="4" t="s">
        <v>30</v>
      </c>
      <c r="D61" s="4" t="s">
        <v>31</v>
      </c>
      <c r="E61" s="4" t="s">
        <v>32</v>
      </c>
      <c r="F61" s="4"/>
      <c r="G61" s="4"/>
      <c r="I61" t="s">
        <v>115</v>
      </c>
      <c r="N61" t="s">
        <v>122</v>
      </c>
    </row>
    <row r="62" spans="2:14" x14ac:dyDescent="0.35">
      <c r="B62" t="s">
        <v>111</v>
      </c>
      <c r="C62">
        <f>C55-B48</f>
        <v>16869.86</v>
      </c>
      <c r="D62">
        <f>D55-C48</f>
        <v>13292.45</v>
      </c>
      <c r="E62">
        <f>E55-D48</f>
        <v>14721.92</v>
      </c>
      <c r="F62">
        <f>C62/I62</f>
        <v>0.3758527215460753</v>
      </c>
      <c r="G62">
        <f>D62/I62</f>
        <v>0.29614967216770788</v>
      </c>
      <c r="H62">
        <f>E62/I62</f>
        <v>0.32799760628621677</v>
      </c>
      <c r="I62">
        <f>SUM(C62:E62)</f>
        <v>44884.23</v>
      </c>
      <c r="J62" s="44">
        <f>F65*I63</f>
        <v>16155.440911445083</v>
      </c>
      <c r="M62">
        <f>I40*I63</f>
        <v>15978.511071276766</v>
      </c>
    </row>
    <row r="63" spans="2:14" x14ac:dyDescent="0.35">
      <c r="B63" t="s">
        <v>112</v>
      </c>
      <c r="C63">
        <f>C56-B49</f>
        <v>16005.862999999999</v>
      </c>
      <c r="D63">
        <f>D56-C49</f>
        <v>14828.45</v>
      </c>
      <c r="E63">
        <f t="shared" ref="D63:E64" si="1">E56-D49</f>
        <v>14769.92</v>
      </c>
      <c r="F63">
        <f>C63/I63</f>
        <v>0.35097318707234915</v>
      </c>
      <c r="G63">
        <f>D63/I63</f>
        <v>0.32515512320972484</v>
      </c>
      <c r="H63">
        <f>E63/I63</f>
        <v>0.32387168971792596</v>
      </c>
      <c r="I63">
        <f t="shared" ref="I63:I64" si="2">SUM(C63:E63)</f>
        <v>45604.233</v>
      </c>
      <c r="J63" s="44">
        <f>G65*I63</f>
        <v>13956.251581205526</v>
      </c>
      <c r="K63" s="28"/>
      <c r="M63">
        <f>I41*I63</f>
        <v>14044.962583855109</v>
      </c>
    </row>
    <row r="64" spans="2:14" x14ac:dyDescent="0.35">
      <c r="B64" s="10" t="s">
        <v>113</v>
      </c>
      <c r="C64" s="10">
        <f>C57-B50</f>
        <v>15045.862999999999</v>
      </c>
      <c r="D64" s="10">
        <f t="shared" si="1"/>
        <v>13292.45</v>
      </c>
      <c r="E64" s="10">
        <f t="shared" si="1"/>
        <v>16449.919999999998</v>
      </c>
      <c r="F64">
        <f>C64/I64</f>
        <v>0.33593339125479676</v>
      </c>
      <c r="G64">
        <f>D64/I64</f>
        <v>0.29678442549854556</v>
      </c>
      <c r="H64">
        <f>E64/I64</f>
        <v>0.36728218324665762</v>
      </c>
      <c r="I64">
        <f t="shared" si="2"/>
        <v>44788.233</v>
      </c>
      <c r="J64" s="44">
        <f>H65*I63</f>
        <v>15492.540507349388</v>
      </c>
      <c r="K64">
        <f>I63-I64</f>
        <v>816</v>
      </c>
      <c r="M64">
        <f>I42*I63</f>
        <v>15580.759344868129</v>
      </c>
    </row>
    <row r="65" spans="2:14" x14ac:dyDescent="0.35">
      <c r="F65">
        <f>AVERAGE(F62:F64)</f>
        <v>0.3542530999577404</v>
      </c>
      <c r="G65">
        <f>AVERAGE(G62:G64)</f>
        <v>0.30602974029199276</v>
      </c>
      <c r="H65">
        <f>AVERAGE(H62:H64)</f>
        <v>0.33971715975026678</v>
      </c>
      <c r="J65">
        <f>SUM(J62:J64)</f>
        <v>45604.233</v>
      </c>
      <c r="M65">
        <f>SUM(M62:M64)</f>
        <v>45604.233000000007</v>
      </c>
    </row>
    <row r="66" spans="2:14" x14ac:dyDescent="0.35">
      <c r="C66" s="4" t="s">
        <v>117</v>
      </c>
      <c r="D66" t="s">
        <v>124</v>
      </c>
    </row>
    <row r="67" spans="2:14" x14ac:dyDescent="0.35">
      <c r="B67" t="s">
        <v>111</v>
      </c>
      <c r="C67">
        <f>C62/J62</f>
        <v>1.0442215778864197</v>
      </c>
      <c r="D67">
        <f>D62/J63</f>
        <v>0.9524369722526751</v>
      </c>
      <c r="E67">
        <f>E62/J64</f>
        <v>0.95025860949120522</v>
      </c>
    </row>
    <row r="68" spans="2:14" x14ac:dyDescent="0.35">
      <c r="B68" t="s">
        <v>112</v>
      </c>
      <c r="C68">
        <f>C63/J62</f>
        <v>0.99074132905038093</v>
      </c>
      <c r="D68">
        <f>D63/J63</f>
        <v>1.0624951774278015</v>
      </c>
      <c r="E68">
        <f>E63/J64</f>
        <v>0.95335687474842556</v>
      </c>
    </row>
    <row r="69" spans="2:14" x14ac:dyDescent="0.35">
      <c r="B69" t="s">
        <v>113</v>
      </c>
      <c r="C69">
        <f>C64/J62</f>
        <v>0.93131862401483456</v>
      </c>
      <c r="D69">
        <f>D64/J63</f>
        <v>0.9524369722526751</v>
      </c>
      <c r="E69">
        <f>E64/J64</f>
        <v>1.0617961587511389</v>
      </c>
    </row>
    <row r="72" spans="2:14" x14ac:dyDescent="0.35">
      <c r="N72" s="28" t="s">
        <v>116</v>
      </c>
    </row>
    <row r="73" spans="2:14" x14ac:dyDescent="0.35">
      <c r="C73" s="4"/>
      <c r="N73" t="s">
        <v>123</v>
      </c>
    </row>
    <row r="74" spans="2:14" x14ac:dyDescent="0.35">
      <c r="N74">
        <f>C64+K64</f>
        <v>15861.862999999999</v>
      </c>
    </row>
    <row r="75" spans="2:14" x14ac:dyDescent="0.35">
      <c r="N75">
        <f>D64</f>
        <v>13292.45</v>
      </c>
    </row>
    <row r="76" spans="2:14" x14ac:dyDescent="0.35">
      <c r="N76">
        <f>E64</f>
        <v>16449.919999999998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FB40-16D2-486B-8C33-3830FD63EE1F}">
  <dimension ref="B1:N150"/>
  <sheetViews>
    <sheetView topLeftCell="A58" workbookViewId="0">
      <selection activeCell="D70" sqref="D70"/>
    </sheetView>
  </sheetViews>
  <sheetFormatPr defaultRowHeight="14.5" x14ac:dyDescent="0.35"/>
  <sheetData>
    <row r="1" spans="2:14" x14ac:dyDescent="0.35">
      <c r="B1" s="45" t="s">
        <v>252</v>
      </c>
    </row>
    <row r="2" spans="2:14" x14ac:dyDescent="0.35">
      <c r="B2" t="s">
        <v>61</v>
      </c>
      <c r="C2" t="s">
        <v>62</v>
      </c>
      <c r="D2" t="s">
        <v>254</v>
      </c>
      <c r="E2" t="s">
        <v>63</v>
      </c>
      <c r="F2" t="s">
        <v>255</v>
      </c>
      <c r="G2" t="s">
        <v>64</v>
      </c>
      <c r="H2" t="s">
        <v>256</v>
      </c>
      <c r="I2" t="s">
        <v>65</v>
      </c>
      <c r="J2">
        <v>0</v>
      </c>
      <c r="K2" t="s">
        <v>257</v>
      </c>
      <c r="L2" t="s">
        <v>66</v>
      </c>
      <c r="M2" t="s">
        <v>258</v>
      </c>
      <c r="N2" t="s">
        <v>259</v>
      </c>
    </row>
    <row r="3" spans="2:14" x14ac:dyDescent="0.35">
      <c r="B3" t="s">
        <v>67</v>
      </c>
    </row>
    <row r="5" spans="2:14" x14ac:dyDescent="0.35">
      <c r="B5" t="s">
        <v>68</v>
      </c>
      <c r="C5" t="s">
        <v>69</v>
      </c>
      <c r="D5">
        <v>1504</v>
      </c>
    </row>
    <row r="7" spans="2:14" x14ac:dyDescent="0.35">
      <c r="B7" t="s">
        <v>70</v>
      </c>
      <c r="C7" t="s">
        <v>0</v>
      </c>
      <c r="D7" t="s">
        <v>71</v>
      </c>
      <c r="E7" t="s">
        <v>72</v>
      </c>
      <c r="F7" t="s">
        <v>73</v>
      </c>
      <c r="G7">
        <v>1.24310893020556E-2</v>
      </c>
      <c r="H7" t="s">
        <v>74</v>
      </c>
      <c r="I7" t="s">
        <v>75</v>
      </c>
      <c r="J7">
        <v>0.1</v>
      </c>
    </row>
    <row r="8" spans="2:14" x14ac:dyDescent="0.35">
      <c r="B8" t="s">
        <v>76</v>
      </c>
      <c r="C8" t="s">
        <v>0</v>
      </c>
      <c r="D8" t="s">
        <v>71</v>
      </c>
      <c r="E8" t="s">
        <v>72</v>
      </c>
      <c r="F8" t="s">
        <v>73</v>
      </c>
      <c r="G8">
        <v>9.9694964070928399E-2</v>
      </c>
      <c r="H8" t="s">
        <v>74</v>
      </c>
      <c r="I8" t="s">
        <v>75</v>
      </c>
      <c r="J8">
        <v>0.1</v>
      </c>
    </row>
    <row r="9" spans="2:14" x14ac:dyDescent="0.35">
      <c r="B9" t="s">
        <v>70</v>
      </c>
      <c r="C9" t="s">
        <v>77</v>
      </c>
      <c r="D9" t="s">
        <v>71</v>
      </c>
      <c r="E9" t="s">
        <v>72</v>
      </c>
      <c r="F9" t="s">
        <v>73</v>
      </c>
      <c r="G9">
        <v>0</v>
      </c>
      <c r="H9" t="s">
        <v>74</v>
      </c>
      <c r="I9" t="s">
        <v>75</v>
      </c>
      <c r="J9">
        <v>0.1</v>
      </c>
    </row>
    <row r="10" spans="2:14" x14ac:dyDescent="0.35">
      <c r="B10" t="s">
        <v>76</v>
      </c>
      <c r="C10" t="s">
        <v>77</v>
      </c>
      <c r="D10" t="s">
        <v>71</v>
      </c>
      <c r="E10" t="s">
        <v>72</v>
      </c>
      <c r="F10" t="s">
        <v>73</v>
      </c>
      <c r="G10">
        <v>0</v>
      </c>
      <c r="H10" t="s">
        <v>74</v>
      </c>
      <c r="I10" t="s">
        <v>75</v>
      </c>
      <c r="J10">
        <v>0.1</v>
      </c>
    </row>
    <row r="11" spans="2:14" x14ac:dyDescent="0.35">
      <c r="B11" t="s">
        <v>70</v>
      </c>
      <c r="C11" t="s">
        <v>0</v>
      </c>
      <c r="D11" t="s">
        <v>71</v>
      </c>
      <c r="E11" t="s">
        <v>72</v>
      </c>
      <c r="F11" t="s">
        <v>78</v>
      </c>
      <c r="G11">
        <v>9.2440888654884094E-3</v>
      </c>
      <c r="H11" t="s">
        <v>74</v>
      </c>
      <c r="I11" t="s">
        <v>75</v>
      </c>
      <c r="J11">
        <v>0.1</v>
      </c>
    </row>
    <row r="12" spans="2:14" x14ac:dyDescent="0.35">
      <c r="B12" t="s">
        <v>76</v>
      </c>
      <c r="C12" t="s">
        <v>0</v>
      </c>
      <c r="D12" t="s">
        <v>71</v>
      </c>
      <c r="E12" t="s">
        <v>72</v>
      </c>
      <c r="F12" t="s">
        <v>78</v>
      </c>
      <c r="G12">
        <v>4.3716345096284998E-2</v>
      </c>
      <c r="H12" t="s">
        <v>74</v>
      </c>
      <c r="I12" t="s">
        <v>75</v>
      </c>
      <c r="J12">
        <v>0.1</v>
      </c>
    </row>
    <row r="13" spans="2:14" x14ac:dyDescent="0.35">
      <c r="B13" t="s">
        <v>70</v>
      </c>
      <c r="C13" t="s">
        <v>77</v>
      </c>
      <c r="D13" t="s">
        <v>71</v>
      </c>
      <c r="E13" t="s">
        <v>72</v>
      </c>
      <c r="F13" t="s">
        <v>78</v>
      </c>
      <c r="G13">
        <v>0</v>
      </c>
      <c r="H13" t="s">
        <v>74</v>
      </c>
      <c r="I13" t="s">
        <v>75</v>
      </c>
      <c r="J13">
        <v>0.1</v>
      </c>
    </row>
    <row r="14" spans="2:14" x14ac:dyDescent="0.35">
      <c r="B14" t="s">
        <v>76</v>
      </c>
      <c r="C14" t="s">
        <v>77</v>
      </c>
      <c r="D14" t="s">
        <v>71</v>
      </c>
      <c r="E14" t="s">
        <v>72</v>
      </c>
      <c r="F14" t="s">
        <v>78</v>
      </c>
      <c r="G14">
        <v>0</v>
      </c>
      <c r="H14" t="s">
        <v>74</v>
      </c>
      <c r="I14" t="s">
        <v>75</v>
      </c>
      <c r="J14">
        <v>0.1</v>
      </c>
    </row>
    <row r="15" spans="2:14" x14ac:dyDescent="0.35">
      <c r="B15" t="s">
        <v>70</v>
      </c>
      <c r="C15" t="s">
        <v>0</v>
      </c>
      <c r="D15" t="s">
        <v>71</v>
      </c>
      <c r="E15" t="s">
        <v>72</v>
      </c>
      <c r="F15" t="s">
        <v>79</v>
      </c>
      <c r="G15">
        <v>9.8320990960590101E-3</v>
      </c>
      <c r="H15" t="s">
        <v>74</v>
      </c>
      <c r="I15" t="s">
        <v>75</v>
      </c>
      <c r="J15">
        <v>0.1</v>
      </c>
    </row>
    <row r="16" spans="2:14" x14ac:dyDescent="0.35">
      <c r="B16" t="s">
        <v>76</v>
      </c>
      <c r="C16" t="s">
        <v>0</v>
      </c>
      <c r="D16" t="s">
        <v>71</v>
      </c>
      <c r="E16" t="s">
        <v>72</v>
      </c>
      <c r="F16" t="s">
        <v>79</v>
      </c>
      <c r="G16">
        <v>3.1985130684924097E-2</v>
      </c>
      <c r="H16" t="s">
        <v>74</v>
      </c>
      <c r="I16" t="s">
        <v>75</v>
      </c>
      <c r="J16">
        <v>0.1</v>
      </c>
    </row>
    <row r="17" spans="2:14" x14ac:dyDescent="0.35">
      <c r="B17" t="s">
        <v>70</v>
      </c>
      <c r="C17" t="s">
        <v>77</v>
      </c>
      <c r="D17" t="s">
        <v>71</v>
      </c>
      <c r="E17" t="s">
        <v>72</v>
      </c>
      <c r="F17" t="s">
        <v>79</v>
      </c>
      <c r="G17">
        <v>0</v>
      </c>
      <c r="H17" t="s">
        <v>74</v>
      </c>
      <c r="I17" t="s">
        <v>75</v>
      </c>
      <c r="J17">
        <v>0.1</v>
      </c>
    </row>
    <row r="18" spans="2:14" x14ac:dyDescent="0.35">
      <c r="B18" t="s">
        <v>76</v>
      </c>
      <c r="C18" t="s">
        <v>77</v>
      </c>
      <c r="D18" t="s">
        <v>71</v>
      </c>
      <c r="E18" t="s">
        <v>72</v>
      </c>
      <c r="F18" t="s">
        <v>79</v>
      </c>
      <c r="G18">
        <v>0</v>
      </c>
      <c r="H18" t="s">
        <v>74</v>
      </c>
      <c r="I18" t="s">
        <v>75</v>
      </c>
      <c r="J18">
        <v>0.1</v>
      </c>
    </row>
    <row r="20" spans="2:14" x14ac:dyDescent="0.35">
      <c r="B20" t="s">
        <v>80</v>
      </c>
      <c r="C20" t="s">
        <v>81</v>
      </c>
      <c r="D20" t="s">
        <v>82</v>
      </c>
      <c r="E20" t="s">
        <v>83</v>
      </c>
      <c r="F20" t="s">
        <v>84</v>
      </c>
    </row>
    <row r="22" spans="2:14" x14ac:dyDescent="0.35">
      <c r="B22" s="45" t="s">
        <v>253</v>
      </c>
    </row>
    <row r="23" spans="2:14" x14ac:dyDescent="0.35">
      <c r="B23" t="s">
        <v>61</v>
      </c>
      <c r="C23" t="s">
        <v>62</v>
      </c>
      <c r="D23" t="s">
        <v>260</v>
      </c>
      <c r="E23" t="s">
        <v>63</v>
      </c>
      <c r="F23" t="s">
        <v>255</v>
      </c>
      <c r="G23" t="s">
        <v>64</v>
      </c>
      <c r="H23" t="s">
        <v>256</v>
      </c>
      <c r="I23" t="s">
        <v>65</v>
      </c>
      <c r="J23">
        <v>0</v>
      </c>
      <c r="K23" t="s">
        <v>120</v>
      </c>
      <c r="L23" t="s">
        <v>66</v>
      </c>
      <c r="M23" t="s">
        <v>261</v>
      </c>
      <c r="N23" t="s">
        <v>262</v>
      </c>
    </row>
    <row r="24" spans="2:14" x14ac:dyDescent="0.35">
      <c r="B24" t="s">
        <v>67</v>
      </c>
    </row>
    <row r="26" spans="2:14" x14ac:dyDescent="0.35">
      <c r="B26" t="s">
        <v>68</v>
      </c>
      <c r="C26" t="s">
        <v>69</v>
      </c>
      <c r="D26">
        <v>462</v>
      </c>
    </row>
    <row r="28" spans="2:14" x14ac:dyDescent="0.35">
      <c r="B28" t="s">
        <v>70</v>
      </c>
      <c r="C28" t="s">
        <v>0</v>
      </c>
      <c r="D28" t="s">
        <v>71</v>
      </c>
      <c r="E28" t="s">
        <v>72</v>
      </c>
      <c r="F28" t="s">
        <v>73</v>
      </c>
      <c r="G28">
        <v>1.6680626771033401E-2</v>
      </c>
      <c r="H28" t="s">
        <v>74</v>
      </c>
      <c r="I28" t="s">
        <v>75</v>
      </c>
      <c r="J28">
        <v>0.1</v>
      </c>
    </row>
    <row r="29" spans="2:14" x14ac:dyDescent="0.35">
      <c r="B29" t="s">
        <v>76</v>
      </c>
      <c r="C29" t="s">
        <v>0</v>
      </c>
      <c r="D29" t="s">
        <v>71</v>
      </c>
      <c r="E29" t="s">
        <v>72</v>
      </c>
      <c r="F29" t="s">
        <v>73</v>
      </c>
      <c r="G29">
        <v>9.9665309605462396E-2</v>
      </c>
      <c r="H29" t="s">
        <v>74</v>
      </c>
      <c r="I29" t="s">
        <v>75</v>
      </c>
      <c r="J29">
        <v>0.1</v>
      </c>
    </row>
    <row r="30" spans="2:14" x14ac:dyDescent="0.35">
      <c r="B30" t="s">
        <v>70</v>
      </c>
      <c r="C30" t="s">
        <v>77</v>
      </c>
      <c r="D30" t="s">
        <v>71</v>
      </c>
      <c r="E30" t="s">
        <v>72</v>
      </c>
      <c r="F30" t="s">
        <v>73</v>
      </c>
      <c r="G30" s="21">
        <v>0</v>
      </c>
      <c r="H30" t="s">
        <v>74</v>
      </c>
      <c r="I30" t="s">
        <v>75</v>
      </c>
      <c r="J30">
        <v>0.1</v>
      </c>
    </row>
    <row r="31" spans="2:14" x14ac:dyDescent="0.35">
      <c r="B31" t="s">
        <v>76</v>
      </c>
      <c r="C31" t="s">
        <v>77</v>
      </c>
      <c r="D31" t="s">
        <v>71</v>
      </c>
      <c r="E31" t="s">
        <v>72</v>
      </c>
      <c r="F31" t="s">
        <v>73</v>
      </c>
      <c r="G31">
        <v>0</v>
      </c>
      <c r="H31" t="s">
        <v>74</v>
      </c>
      <c r="I31" t="s">
        <v>75</v>
      </c>
      <c r="J31">
        <v>0.1</v>
      </c>
    </row>
    <row r="32" spans="2:14" x14ac:dyDescent="0.35">
      <c r="B32" t="s">
        <v>70</v>
      </c>
      <c r="C32" t="s">
        <v>0</v>
      </c>
      <c r="D32" t="s">
        <v>71</v>
      </c>
      <c r="E32" t="s">
        <v>72</v>
      </c>
      <c r="F32" t="s">
        <v>78</v>
      </c>
      <c r="G32">
        <v>1.6029748702429601E-2</v>
      </c>
      <c r="H32" t="s">
        <v>74</v>
      </c>
      <c r="I32" t="s">
        <v>75</v>
      </c>
      <c r="J32">
        <v>0.1</v>
      </c>
    </row>
    <row r="33" spans="2:14" x14ac:dyDescent="0.35">
      <c r="B33" t="s">
        <v>76</v>
      </c>
      <c r="C33" t="s">
        <v>0</v>
      </c>
      <c r="D33" t="s">
        <v>71</v>
      </c>
      <c r="E33" t="s">
        <v>72</v>
      </c>
      <c r="F33" t="s">
        <v>78</v>
      </c>
      <c r="G33">
        <v>6.4931202948357095E-2</v>
      </c>
      <c r="H33" t="s">
        <v>74</v>
      </c>
      <c r="I33" t="s">
        <v>75</v>
      </c>
      <c r="J33">
        <v>0.1</v>
      </c>
    </row>
    <row r="34" spans="2:14" x14ac:dyDescent="0.35">
      <c r="B34" t="s">
        <v>70</v>
      </c>
      <c r="C34" t="s">
        <v>77</v>
      </c>
      <c r="D34" t="s">
        <v>71</v>
      </c>
      <c r="E34" t="s">
        <v>72</v>
      </c>
      <c r="F34" t="s">
        <v>78</v>
      </c>
      <c r="G34" s="21">
        <v>0</v>
      </c>
      <c r="H34" t="s">
        <v>74</v>
      </c>
      <c r="I34" t="s">
        <v>75</v>
      </c>
      <c r="J34">
        <v>0.1</v>
      </c>
    </row>
    <row r="35" spans="2:14" x14ac:dyDescent="0.35">
      <c r="B35" t="s">
        <v>76</v>
      </c>
      <c r="C35" t="s">
        <v>77</v>
      </c>
      <c r="D35" t="s">
        <v>71</v>
      </c>
      <c r="E35" t="s">
        <v>72</v>
      </c>
      <c r="F35" t="s">
        <v>78</v>
      </c>
      <c r="G35" s="21">
        <v>0</v>
      </c>
      <c r="H35" t="s">
        <v>74</v>
      </c>
      <c r="I35" t="s">
        <v>75</v>
      </c>
      <c r="J35">
        <v>0.1</v>
      </c>
    </row>
    <row r="36" spans="2:14" x14ac:dyDescent="0.35">
      <c r="B36" t="s">
        <v>70</v>
      </c>
      <c r="C36" t="s">
        <v>0</v>
      </c>
      <c r="D36" t="s">
        <v>71</v>
      </c>
      <c r="E36" t="s">
        <v>72</v>
      </c>
      <c r="F36" t="s">
        <v>79</v>
      </c>
      <c r="G36">
        <v>5.7770333790970003E-3</v>
      </c>
      <c r="H36" t="s">
        <v>74</v>
      </c>
      <c r="I36" t="s">
        <v>75</v>
      </c>
      <c r="J36">
        <v>0.1</v>
      </c>
    </row>
    <row r="37" spans="2:14" x14ac:dyDescent="0.35">
      <c r="B37" t="s">
        <v>76</v>
      </c>
      <c r="C37" t="s">
        <v>0</v>
      </c>
      <c r="D37" t="s">
        <v>71</v>
      </c>
      <c r="E37" t="s">
        <v>72</v>
      </c>
      <c r="F37" t="s">
        <v>79</v>
      </c>
      <c r="G37">
        <v>5.6940603438334798E-2</v>
      </c>
      <c r="H37" t="s">
        <v>74</v>
      </c>
      <c r="I37" t="s">
        <v>75</v>
      </c>
      <c r="J37">
        <v>0.1</v>
      </c>
    </row>
    <row r="38" spans="2:14" x14ac:dyDescent="0.35">
      <c r="B38" t="s">
        <v>70</v>
      </c>
      <c r="C38" t="s">
        <v>77</v>
      </c>
      <c r="D38" t="s">
        <v>71</v>
      </c>
      <c r="E38" t="s">
        <v>72</v>
      </c>
      <c r="F38" t="s">
        <v>79</v>
      </c>
      <c r="G38" s="21">
        <v>0</v>
      </c>
      <c r="H38" t="s">
        <v>74</v>
      </c>
      <c r="I38" t="s">
        <v>75</v>
      </c>
      <c r="J38">
        <v>0.1</v>
      </c>
    </row>
    <row r="39" spans="2:14" x14ac:dyDescent="0.35">
      <c r="B39" t="s">
        <v>76</v>
      </c>
      <c r="C39" t="s">
        <v>77</v>
      </c>
      <c r="D39" t="s">
        <v>71</v>
      </c>
      <c r="E39" t="s">
        <v>72</v>
      </c>
      <c r="F39" t="s">
        <v>79</v>
      </c>
      <c r="G39" s="21">
        <v>0</v>
      </c>
      <c r="H39" t="s">
        <v>74</v>
      </c>
      <c r="I39" t="s">
        <v>75</v>
      </c>
      <c r="J39">
        <v>0.1</v>
      </c>
    </row>
    <row r="41" spans="2:14" x14ac:dyDescent="0.35">
      <c r="B41" t="s">
        <v>80</v>
      </c>
      <c r="C41" t="s">
        <v>81</v>
      </c>
      <c r="D41" t="s">
        <v>82</v>
      </c>
      <c r="E41" t="s">
        <v>83</v>
      </c>
      <c r="F41" t="s">
        <v>84</v>
      </c>
    </row>
    <row r="43" spans="2:14" x14ac:dyDescent="0.35">
      <c r="B43" s="45" t="s">
        <v>5</v>
      </c>
    </row>
    <row r="44" spans="2:14" x14ac:dyDescent="0.35">
      <c r="B44" t="s">
        <v>61</v>
      </c>
      <c r="C44" t="s">
        <v>62</v>
      </c>
      <c r="D44" t="s">
        <v>265</v>
      </c>
      <c r="E44" t="s">
        <v>63</v>
      </c>
      <c r="F44" t="s">
        <v>263</v>
      </c>
      <c r="G44" t="s">
        <v>64</v>
      </c>
      <c r="H44" t="s">
        <v>279</v>
      </c>
      <c r="I44" t="s">
        <v>65</v>
      </c>
      <c r="J44">
        <v>8.7999999999999995E-2</v>
      </c>
      <c r="K44" t="s">
        <v>120</v>
      </c>
      <c r="L44" t="s">
        <v>66</v>
      </c>
      <c r="M44" t="s">
        <v>280</v>
      </c>
      <c r="N44" t="s">
        <v>281</v>
      </c>
    </row>
    <row r="45" spans="2:14" x14ac:dyDescent="0.35">
      <c r="B45" t="s">
        <v>67</v>
      </c>
    </row>
    <row r="47" spans="2:14" x14ac:dyDescent="0.35">
      <c r="B47" t="s">
        <v>68</v>
      </c>
      <c r="C47" t="s">
        <v>69</v>
      </c>
      <c r="D47">
        <v>733</v>
      </c>
    </row>
    <row r="49" spans="2:10" x14ac:dyDescent="0.35">
      <c r="B49" t="s">
        <v>70</v>
      </c>
      <c r="C49" t="s">
        <v>0</v>
      </c>
      <c r="D49" t="s">
        <v>71</v>
      </c>
      <c r="E49" t="s">
        <v>72</v>
      </c>
      <c r="F49" t="s">
        <v>73</v>
      </c>
      <c r="G49">
        <v>2.9488851101658501E-2</v>
      </c>
      <c r="H49" t="s">
        <v>74</v>
      </c>
      <c r="I49" t="s">
        <v>75</v>
      </c>
      <c r="J49">
        <v>0.1</v>
      </c>
    </row>
    <row r="50" spans="2:10" x14ac:dyDescent="0.35">
      <c r="B50" t="s">
        <v>76</v>
      </c>
      <c r="C50" t="s">
        <v>0</v>
      </c>
      <c r="D50" t="s">
        <v>71</v>
      </c>
      <c r="E50" t="s">
        <v>72</v>
      </c>
      <c r="F50" t="s">
        <v>73</v>
      </c>
      <c r="G50">
        <v>4.67223110656345E-2</v>
      </c>
      <c r="H50" t="s">
        <v>74</v>
      </c>
      <c r="I50" t="s">
        <v>75</v>
      </c>
      <c r="J50">
        <v>0.1</v>
      </c>
    </row>
    <row r="51" spans="2:10" x14ac:dyDescent="0.35">
      <c r="B51" t="s">
        <v>70</v>
      </c>
      <c r="C51" t="s">
        <v>77</v>
      </c>
      <c r="D51" t="s">
        <v>71</v>
      </c>
      <c r="E51" t="s">
        <v>72</v>
      </c>
      <c r="F51" t="s">
        <v>73</v>
      </c>
      <c r="G51" s="21">
        <v>4.3655056579154899E-3</v>
      </c>
      <c r="H51" t="s">
        <v>74</v>
      </c>
      <c r="I51" t="s">
        <v>75</v>
      </c>
      <c r="J51">
        <v>0.1</v>
      </c>
    </row>
    <row r="52" spans="2:10" x14ac:dyDescent="0.35">
      <c r="B52" t="s">
        <v>76</v>
      </c>
      <c r="C52" t="s">
        <v>77</v>
      </c>
      <c r="D52" t="s">
        <v>71</v>
      </c>
      <c r="E52" t="s">
        <v>72</v>
      </c>
      <c r="F52" t="s">
        <v>73</v>
      </c>
      <c r="G52">
        <v>8.7556851421775606E-2</v>
      </c>
      <c r="H52" t="s">
        <v>74</v>
      </c>
      <c r="I52" t="s">
        <v>75</v>
      </c>
      <c r="J52">
        <v>0.1</v>
      </c>
    </row>
    <row r="53" spans="2:10" x14ac:dyDescent="0.35">
      <c r="B53" t="s">
        <v>70</v>
      </c>
      <c r="C53" t="s">
        <v>0</v>
      </c>
      <c r="D53" t="s">
        <v>71</v>
      </c>
      <c r="E53" t="s">
        <v>72</v>
      </c>
      <c r="F53" t="s">
        <v>78</v>
      </c>
      <c r="G53">
        <v>3.44365437545636E-3</v>
      </c>
      <c r="H53" t="s">
        <v>74</v>
      </c>
      <c r="I53" t="s">
        <v>75</v>
      </c>
      <c r="J53">
        <v>0.1</v>
      </c>
    </row>
    <row r="54" spans="2:10" x14ac:dyDescent="0.35">
      <c r="B54" t="s">
        <v>76</v>
      </c>
      <c r="C54" t="s">
        <v>0</v>
      </c>
      <c r="D54" t="s">
        <v>71</v>
      </c>
      <c r="E54" t="s">
        <v>72</v>
      </c>
      <c r="F54" t="s">
        <v>78</v>
      </c>
      <c r="G54">
        <v>3.4596621507992698E-2</v>
      </c>
      <c r="H54" t="s">
        <v>74</v>
      </c>
      <c r="I54" t="s">
        <v>75</v>
      </c>
      <c r="J54">
        <v>0.1</v>
      </c>
    </row>
    <row r="55" spans="2:10" x14ac:dyDescent="0.35">
      <c r="B55" t="s">
        <v>70</v>
      </c>
      <c r="C55" t="s">
        <v>77</v>
      </c>
      <c r="D55" t="s">
        <v>71</v>
      </c>
      <c r="E55" t="s">
        <v>72</v>
      </c>
      <c r="F55" t="s">
        <v>78</v>
      </c>
      <c r="G55" s="21">
        <v>1.1449013600213201E-3</v>
      </c>
      <c r="H55" t="s">
        <v>74</v>
      </c>
      <c r="I55" t="s">
        <v>75</v>
      </c>
      <c r="J55">
        <v>0.1</v>
      </c>
    </row>
    <row r="56" spans="2:10" x14ac:dyDescent="0.35">
      <c r="B56" t="s">
        <v>76</v>
      </c>
      <c r="C56" t="s">
        <v>77</v>
      </c>
      <c r="D56" t="s">
        <v>71</v>
      </c>
      <c r="E56" t="s">
        <v>72</v>
      </c>
      <c r="F56" t="s">
        <v>78</v>
      </c>
      <c r="G56" s="21">
        <v>2.3050371175874398E-2</v>
      </c>
      <c r="H56" t="s">
        <v>74</v>
      </c>
      <c r="I56" t="s">
        <v>75</v>
      </c>
      <c r="J56">
        <v>0.1</v>
      </c>
    </row>
    <row r="57" spans="2:10" x14ac:dyDescent="0.35">
      <c r="B57" t="s">
        <v>70</v>
      </c>
      <c r="C57" t="s">
        <v>0</v>
      </c>
      <c r="D57" t="s">
        <v>71</v>
      </c>
      <c r="E57" t="s">
        <v>72</v>
      </c>
      <c r="F57" t="s">
        <v>79</v>
      </c>
      <c r="G57">
        <v>3.1115646322390798E-2</v>
      </c>
      <c r="H57" t="s">
        <v>74</v>
      </c>
      <c r="I57" t="s">
        <v>75</v>
      </c>
      <c r="J57">
        <v>0.1</v>
      </c>
    </row>
    <row r="58" spans="2:10" x14ac:dyDescent="0.35">
      <c r="B58" t="s">
        <v>76</v>
      </c>
      <c r="C58" t="s">
        <v>0</v>
      </c>
      <c r="D58" t="s">
        <v>71</v>
      </c>
      <c r="E58" t="s">
        <v>72</v>
      </c>
      <c r="F58" t="s">
        <v>79</v>
      </c>
      <c r="G58">
        <v>1.4881606595311601E-2</v>
      </c>
      <c r="H58" t="s">
        <v>74</v>
      </c>
      <c r="I58" t="s">
        <v>75</v>
      </c>
      <c r="J58">
        <v>0.1</v>
      </c>
    </row>
    <row r="59" spans="2:10" x14ac:dyDescent="0.35">
      <c r="B59" t="s">
        <v>70</v>
      </c>
      <c r="C59" t="s">
        <v>77</v>
      </c>
      <c r="D59" t="s">
        <v>71</v>
      </c>
      <c r="E59" t="s">
        <v>72</v>
      </c>
      <c r="F59" t="s">
        <v>79</v>
      </c>
      <c r="G59" s="21">
        <v>2.4526597443127601E-2</v>
      </c>
      <c r="H59" t="s">
        <v>74</v>
      </c>
      <c r="I59" t="s">
        <v>75</v>
      </c>
      <c r="J59">
        <v>0.1</v>
      </c>
    </row>
    <row r="60" spans="2:10" x14ac:dyDescent="0.35">
      <c r="B60" t="s">
        <v>76</v>
      </c>
      <c r="C60" t="s">
        <v>77</v>
      </c>
      <c r="D60" t="s">
        <v>71</v>
      </c>
      <c r="E60" t="s">
        <v>72</v>
      </c>
      <c r="F60" t="s">
        <v>79</v>
      </c>
      <c r="G60" s="21">
        <v>1.2502965795960301E-2</v>
      </c>
      <c r="H60" t="s">
        <v>74</v>
      </c>
      <c r="I60" t="s">
        <v>75</v>
      </c>
      <c r="J60">
        <v>0.1</v>
      </c>
    </row>
    <row r="62" spans="2:10" x14ac:dyDescent="0.35">
      <c r="B62" t="s">
        <v>80</v>
      </c>
      <c r="C62" t="s">
        <v>81</v>
      </c>
      <c r="D62" t="s">
        <v>82</v>
      </c>
      <c r="E62" t="s">
        <v>83</v>
      </c>
      <c r="F62" t="s">
        <v>84</v>
      </c>
    </row>
    <row r="65" spans="2:14" x14ac:dyDescent="0.35">
      <c r="B65" s="4" t="s">
        <v>3</v>
      </c>
    </row>
    <row r="66" spans="2:14" x14ac:dyDescent="0.35">
      <c r="B66" t="s">
        <v>61</v>
      </c>
      <c r="C66" t="s">
        <v>62</v>
      </c>
      <c r="D66" t="s">
        <v>308</v>
      </c>
      <c r="E66" t="s">
        <v>63</v>
      </c>
      <c r="F66" t="s">
        <v>255</v>
      </c>
      <c r="G66" t="s">
        <v>64</v>
      </c>
      <c r="H66" t="s">
        <v>260</v>
      </c>
      <c r="I66" t="s">
        <v>65</v>
      </c>
      <c r="J66">
        <v>2.9000000000000001E-2</v>
      </c>
      <c r="K66" t="s">
        <v>309</v>
      </c>
      <c r="L66" t="s">
        <v>66</v>
      </c>
      <c r="M66" t="s">
        <v>310</v>
      </c>
      <c r="N66" t="s">
        <v>311</v>
      </c>
    </row>
    <row r="67" spans="2:14" x14ac:dyDescent="0.35">
      <c r="B67" t="s">
        <v>67</v>
      </c>
    </row>
    <row r="69" spans="2:14" x14ac:dyDescent="0.35">
      <c r="B69" t="s">
        <v>68</v>
      </c>
      <c r="C69" t="s">
        <v>69</v>
      </c>
      <c r="D69">
        <v>2223</v>
      </c>
    </row>
    <row r="71" spans="2:14" x14ac:dyDescent="0.35">
      <c r="B71" t="s">
        <v>70</v>
      </c>
      <c r="C71" t="s">
        <v>0</v>
      </c>
      <c r="D71" t="s">
        <v>71</v>
      </c>
      <c r="E71" t="s">
        <v>72</v>
      </c>
      <c r="F71" t="s">
        <v>73</v>
      </c>
      <c r="G71">
        <v>2.7315123056530499E-2</v>
      </c>
      <c r="H71" t="s">
        <v>74</v>
      </c>
      <c r="I71" t="s">
        <v>75</v>
      </c>
      <c r="J71">
        <v>0.1</v>
      </c>
    </row>
    <row r="72" spans="2:14" x14ac:dyDescent="0.35">
      <c r="B72" t="s">
        <v>76</v>
      </c>
      <c r="C72" t="s">
        <v>0</v>
      </c>
      <c r="D72" t="s">
        <v>71</v>
      </c>
      <c r="E72" t="s">
        <v>72</v>
      </c>
      <c r="F72" t="s">
        <v>73</v>
      </c>
      <c r="G72">
        <v>9.9886739206307598E-2</v>
      </c>
      <c r="H72" t="s">
        <v>74</v>
      </c>
      <c r="I72" t="s">
        <v>75</v>
      </c>
      <c r="J72">
        <v>0.1</v>
      </c>
    </row>
    <row r="73" spans="2:14" x14ac:dyDescent="0.35">
      <c r="B73" t="s">
        <v>70</v>
      </c>
      <c r="C73" t="s">
        <v>77</v>
      </c>
      <c r="D73" t="s">
        <v>71</v>
      </c>
      <c r="E73" t="s">
        <v>72</v>
      </c>
      <c r="F73" t="s">
        <v>73</v>
      </c>
      <c r="G73">
        <v>1.3133645352354501E-2</v>
      </c>
      <c r="H73" t="s">
        <v>74</v>
      </c>
      <c r="I73" t="s">
        <v>75</v>
      </c>
      <c r="J73">
        <v>0.1</v>
      </c>
    </row>
    <row r="74" spans="2:14" x14ac:dyDescent="0.35">
      <c r="B74" t="s">
        <v>76</v>
      </c>
      <c r="C74" t="s">
        <v>77</v>
      </c>
      <c r="D74" t="s">
        <v>71</v>
      </c>
      <c r="E74" t="s">
        <v>72</v>
      </c>
      <c r="F74" t="s">
        <v>73</v>
      </c>
      <c r="G74">
        <v>2.9097431777817501E-2</v>
      </c>
      <c r="H74" t="s">
        <v>74</v>
      </c>
      <c r="I74" t="s">
        <v>75</v>
      </c>
      <c r="J74">
        <v>0.1</v>
      </c>
    </row>
    <row r="75" spans="2:14" x14ac:dyDescent="0.35">
      <c r="B75" t="s">
        <v>70</v>
      </c>
      <c r="C75" t="s">
        <v>0</v>
      </c>
      <c r="D75" t="s">
        <v>71</v>
      </c>
      <c r="E75" t="s">
        <v>72</v>
      </c>
      <c r="F75" t="s">
        <v>78</v>
      </c>
      <c r="G75">
        <v>2.1153941819746998E-2</v>
      </c>
      <c r="H75" t="s">
        <v>74</v>
      </c>
      <c r="I75" t="s">
        <v>75</v>
      </c>
      <c r="J75">
        <v>0.1</v>
      </c>
    </row>
    <row r="76" spans="2:14" x14ac:dyDescent="0.35">
      <c r="B76" t="s">
        <v>76</v>
      </c>
      <c r="C76" t="s">
        <v>0</v>
      </c>
      <c r="D76" t="s">
        <v>71</v>
      </c>
      <c r="E76" t="s">
        <v>72</v>
      </c>
      <c r="F76" t="s">
        <v>78</v>
      </c>
      <c r="G76">
        <v>7.4822364182406204E-2</v>
      </c>
      <c r="H76" t="s">
        <v>74</v>
      </c>
      <c r="I76" t="s">
        <v>75</v>
      </c>
      <c r="J76">
        <v>0.1</v>
      </c>
    </row>
    <row r="77" spans="2:14" x14ac:dyDescent="0.35">
      <c r="B77" t="s">
        <v>70</v>
      </c>
      <c r="C77" t="s">
        <v>77</v>
      </c>
      <c r="D77" t="s">
        <v>71</v>
      </c>
      <c r="E77" t="s">
        <v>72</v>
      </c>
      <c r="F77" t="s">
        <v>78</v>
      </c>
      <c r="G77">
        <v>1.6515469291334701E-2</v>
      </c>
      <c r="H77" t="s">
        <v>74</v>
      </c>
      <c r="I77" t="s">
        <v>75</v>
      </c>
      <c r="J77">
        <v>0.1</v>
      </c>
    </row>
    <row r="78" spans="2:14" x14ac:dyDescent="0.35">
      <c r="B78" t="s">
        <v>76</v>
      </c>
      <c r="C78" t="s">
        <v>77</v>
      </c>
      <c r="D78" t="s">
        <v>71</v>
      </c>
      <c r="E78" t="s">
        <v>72</v>
      </c>
      <c r="F78" t="s">
        <v>78</v>
      </c>
      <c r="G78">
        <v>1.91565881556027E-2</v>
      </c>
      <c r="H78" t="s">
        <v>74</v>
      </c>
      <c r="I78" t="s">
        <v>75</v>
      </c>
      <c r="J78">
        <v>0.1</v>
      </c>
    </row>
    <row r="79" spans="2:14" x14ac:dyDescent="0.35">
      <c r="B79" t="s">
        <v>70</v>
      </c>
      <c r="C79" t="s">
        <v>0</v>
      </c>
      <c r="D79" t="s">
        <v>71</v>
      </c>
      <c r="E79" t="s">
        <v>72</v>
      </c>
      <c r="F79" t="s">
        <v>79</v>
      </c>
      <c r="G79">
        <v>8.42089039809997E-3</v>
      </c>
      <c r="H79" t="s">
        <v>74</v>
      </c>
      <c r="I79" t="s">
        <v>75</v>
      </c>
      <c r="J79">
        <v>0.1</v>
      </c>
    </row>
    <row r="80" spans="2:14" x14ac:dyDescent="0.35">
      <c r="B80" t="s">
        <v>76</v>
      </c>
      <c r="C80" t="s">
        <v>0</v>
      </c>
      <c r="D80" t="s">
        <v>71</v>
      </c>
      <c r="E80" t="s">
        <v>72</v>
      </c>
      <c r="F80" t="s">
        <v>79</v>
      </c>
      <c r="G80">
        <v>2.44903107004509E-2</v>
      </c>
      <c r="H80" t="s">
        <v>74</v>
      </c>
      <c r="I80" t="s">
        <v>75</v>
      </c>
      <c r="J80">
        <v>0.1</v>
      </c>
    </row>
    <row r="81" spans="2:14" x14ac:dyDescent="0.35">
      <c r="B81" t="s">
        <v>70</v>
      </c>
      <c r="C81" t="s">
        <v>77</v>
      </c>
      <c r="D81" t="s">
        <v>71</v>
      </c>
      <c r="E81" t="s">
        <v>72</v>
      </c>
      <c r="F81" t="s">
        <v>79</v>
      </c>
      <c r="G81">
        <v>7.0430452069558599E-3</v>
      </c>
      <c r="H81" t="s">
        <v>74</v>
      </c>
      <c r="I81" t="s">
        <v>75</v>
      </c>
      <c r="J81">
        <v>0.1</v>
      </c>
    </row>
    <row r="82" spans="2:14" x14ac:dyDescent="0.35">
      <c r="B82" t="s">
        <v>76</v>
      </c>
      <c r="C82" t="s">
        <v>77</v>
      </c>
      <c r="D82" t="s">
        <v>71</v>
      </c>
      <c r="E82" t="s">
        <v>72</v>
      </c>
      <c r="F82" t="s">
        <v>79</v>
      </c>
      <c r="G82">
        <v>1.06314845541711E-2</v>
      </c>
      <c r="H82" t="s">
        <v>74</v>
      </c>
      <c r="I82" t="s">
        <v>75</v>
      </c>
      <c r="J82">
        <v>0.1</v>
      </c>
    </row>
    <row r="84" spans="2:14" x14ac:dyDescent="0.35">
      <c r="B84" t="s">
        <v>80</v>
      </c>
      <c r="C84" t="s">
        <v>81</v>
      </c>
      <c r="D84" t="s">
        <v>82</v>
      </c>
      <c r="E84" t="s">
        <v>83</v>
      </c>
      <c r="F84" t="s">
        <v>84</v>
      </c>
    </row>
    <row r="86" spans="2:14" x14ac:dyDescent="0.35">
      <c r="B86" t="s">
        <v>307</v>
      </c>
    </row>
    <row r="87" spans="2:14" x14ac:dyDescent="0.35">
      <c r="B87" s="45" t="s">
        <v>2</v>
      </c>
    </row>
    <row r="88" spans="2:14" x14ac:dyDescent="0.35">
      <c r="B88" t="s">
        <v>61</v>
      </c>
      <c r="C88" t="s">
        <v>62</v>
      </c>
      <c r="D88" t="s">
        <v>263</v>
      </c>
      <c r="E88" t="s">
        <v>63</v>
      </c>
      <c r="F88" t="s">
        <v>264</v>
      </c>
      <c r="G88" t="s">
        <v>64</v>
      </c>
      <c r="H88" t="s">
        <v>265</v>
      </c>
      <c r="I88" t="s">
        <v>65</v>
      </c>
      <c r="J88">
        <v>7.6999999999999999E-2</v>
      </c>
      <c r="K88" t="s">
        <v>120</v>
      </c>
      <c r="L88" t="s">
        <v>66</v>
      </c>
      <c r="M88" t="s">
        <v>266</v>
      </c>
      <c r="N88" t="s">
        <v>267</v>
      </c>
    </row>
    <row r="89" spans="2:14" x14ac:dyDescent="0.35">
      <c r="B89" t="s">
        <v>67</v>
      </c>
    </row>
    <row r="91" spans="2:14" x14ac:dyDescent="0.35">
      <c r="B91" t="s">
        <v>68</v>
      </c>
      <c r="C91" t="s">
        <v>69</v>
      </c>
      <c r="D91">
        <v>498</v>
      </c>
    </row>
    <row r="93" spans="2:14" x14ac:dyDescent="0.35">
      <c r="B93" t="s">
        <v>70</v>
      </c>
      <c r="C93" t="s">
        <v>0</v>
      </c>
      <c r="D93" t="s">
        <v>71</v>
      </c>
      <c r="E93" t="s">
        <v>72</v>
      </c>
      <c r="F93" t="s">
        <v>73</v>
      </c>
      <c r="G93">
        <v>1.1264098427259801E-2</v>
      </c>
      <c r="H93" t="s">
        <v>74</v>
      </c>
      <c r="I93" t="s">
        <v>75</v>
      </c>
      <c r="J93">
        <v>0.1</v>
      </c>
    </row>
    <row r="94" spans="2:14" x14ac:dyDescent="0.35">
      <c r="B94" t="s">
        <v>76</v>
      </c>
      <c r="C94" t="s">
        <v>0</v>
      </c>
      <c r="D94" t="s">
        <v>71</v>
      </c>
      <c r="E94" t="s">
        <v>72</v>
      </c>
      <c r="F94" t="s">
        <v>73</v>
      </c>
      <c r="G94">
        <v>6.1058441778300297E-2</v>
      </c>
      <c r="H94" t="s">
        <v>74</v>
      </c>
      <c r="I94" t="s">
        <v>75</v>
      </c>
      <c r="J94">
        <v>0.1</v>
      </c>
    </row>
    <row r="95" spans="2:14" x14ac:dyDescent="0.35">
      <c r="B95" t="s">
        <v>70</v>
      </c>
      <c r="C95" t="s">
        <v>77</v>
      </c>
      <c r="D95" t="s">
        <v>71</v>
      </c>
      <c r="E95" t="s">
        <v>72</v>
      </c>
      <c r="F95" t="s">
        <v>73</v>
      </c>
      <c r="G95">
        <v>3.11559240908536E-2</v>
      </c>
      <c r="H95" t="s">
        <v>74</v>
      </c>
      <c r="I95" t="s">
        <v>75</v>
      </c>
      <c r="J95">
        <v>0.1</v>
      </c>
    </row>
    <row r="96" spans="2:14" x14ac:dyDescent="0.35">
      <c r="B96" t="s">
        <v>76</v>
      </c>
      <c r="C96" t="s">
        <v>77</v>
      </c>
      <c r="D96" t="s">
        <v>71</v>
      </c>
      <c r="E96" t="s">
        <v>72</v>
      </c>
      <c r="F96" t="s">
        <v>73</v>
      </c>
      <c r="G96">
        <v>7.7259951105421706E-2</v>
      </c>
      <c r="H96" t="s">
        <v>74</v>
      </c>
      <c r="I96" t="s">
        <v>75</v>
      </c>
      <c r="J96">
        <v>0.1</v>
      </c>
    </row>
    <row r="97" spans="2:14" x14ac:dyDescent="0.35">
      <c r="B97" t="s">
        <v>70</v>
      </c>
      <c r="C97" t="s">
        <v>0</v>
      </c>
      <c r="D97" t="s">
        <v>71</v>
      </c>
      <c r="E97" t="s">
        <v>72</v>
      </c>
      <c r="F97" t="s">
        <v>78</v>
      </c>
      <c r="G97">
        <v>1.99283628366409E-3</v>
      </c>
      <c r="H97" t="s">
        <v>74</v>
      </c>
      <c r="I97" t="s">
        <v>75</v>
      </c>
      <c r="J97">
        <v>0.1</v>
      </c>
    </row>
    <row r="98" spans="2:14" x14ac:dyDescent="0.35">
      <c r="B98" t="s">
        <v>76</v>
      </c>
      <c r="C98" t="s">
        <v>0</v>
      </c>
      <c r="D98" t="s">
        <v>71</v>
      </c>
      <c r="E98" t="s">
        <v>72</v>
      </c>
      <c r="F98" t="s">
        <v>78</v>
      </c>
      <c r="G98">
        <v>4.1781866104828704E-3</v>
      </c>
      <c r="H98" t="s">
        <v>74</v>
      </c>
      <c r="I98" t="s">
        <v>75</v>
      </c>
      <c r="J98">
        <v>0.1</v>
      </c>
    </row>
    <row r="99" spans="2:14" x14ac:dyDescent="0.35">
      <c r="B99" t="s">
        <v>70</v>
      </c>
      <c r="C99" t="s">
        <v>77</v>
      </c>
      <c r="D99" t="s">
        <v>71</v>
      </c>
      <c r="E99" t="s">
        <v>72</v>
      </c>
      <c r="F99" t="s">
        <v>78</v>
      </c>
      <c r="G99">
        <v>1.38622986560221E-3</v>
      </c>
      <c r="H99" t="s">
        <v>74</v>
      </c>
      <c r="I99" t="s">
        <v>75</v>
      </c>
      <c r="J99">
        <v>0.1</v>
      </c>
    </row>
    <row r="100" spans="2:14" x14ac:dyDescent="0.35">
      <c r="B100" t="s">
        <v>76</v>
      </c>
      <c r="C100" t="s">
        <v>77</v>
      </c>
      <c r="D100" t="s">
        <v>71</v>
      </c>
      <c r="E100" t="s">
        <v>72</v>
      </c>
      <c r="F100" t="s">
        <v>78</v>
      </c>
      <c r="G100">
        <v>1.05498457233447E-4</v>
      </c>
      <c r="H100" t="s">
        <v>74</v>
      </c>
      <c r="I100" t="s">
        <v>75</v>
      </c>
      <c r="J100">
        <v>0.1</v>
      </c>
    </row>
    <row r="101" spans="2:14" x14ac:dyDescent="0.35">
      <c r="B101" t="s">
        <v>70</v>
      </c>
      <c r="C101" t="s">
        <v>0</v>
      </c>
      <c r="D101" t="s">
        <v>71</v>
      </c>
      <c r="E101" t="s">
        <v>72</v>
      </c>
      <c r="F101" t="s">
        <v>79</v>
      </c>
      <c r="G101">
        <v>4.7268660129720801E-2</v>
      </c>
      <c r="H101" t="s">
        <v>74</v>
      </c>
      <c r="I101" t="s">
        <v>75</v>
      </c>
      <c r="J101">
        <v>0.1</v>
      </c>
    </row>
    <row r="102" spans="2:14" x14ac:dyDescent="0.35">
      <c r="B102" t="s">
        <v>76</v>
      </c>
      <c r="C102" t="s">
        <v>0</v>
      </c>
      <c r="D102" t="s">
        <v>71</v>
      </c>
      <c r="E102" t="s">
        <v>72</v>
      </c>
      <c r="F102" t="s">
        <v>79</v>
      </c>
      <c r="G102">
        <v>9.8746304922519998E-2</v>
      </c>
      <c r="H102" t="s">
        <v>74</v>
      </c>
      <c r="I102" t="s">
        <v>75</v>
      </c>
      <c r="J102">
        <v>0.1</v>
      </c>
    </row>
    <row r="103" spans="2:14" x14ac:dyDescent="0.35">
      <c r="B103" t="s">
        <v>70</v>
      </c>
      <c r="C103" t="s">
        <v>77</v>
      </c>
      <c r="D103" t="s">
        <v>71</v>
      </c>
      <c r="E103" t="s">
        <v>72</v>
      </c>
      <c r="F103" t="s">
        <v>79</v>
      </c>
      <c r="G103">
        <v>2.6759835236589398E-3</v>
      </c>
      <c r="H103" t="s">
        <v>74</v>
      </c>
      <c r="I103" t="s">
        <v>75</v>
      </c>
      <c r="J103">
        <v>0.1</v>
      </c>
    </row>
    <row r="104" spans="2:14" x14ac:dyDescent="0.35">
      <c r="B104" t="s">
        <v>76</v>
      </c>
      <c r="C104" t="s">
        <v>77</v>
      </c>
      <c r="D104" t="s">
        <v>71</v>
      </c>
      <c r="E104" t="s">
        <v>72</v>
      </c>
      <c r="F104" t="s">
        <v>79</v>
      </c>
      <c r="G104">
        <v>2.4413212289343001E-3</v>
      </c>
      <c r="H104" t="s">
        <v>74</v>
      </c>
      <c r="I104" t="s">
        <v>75</v>
      </c>
      <c r="J104">
        <v>0.1</v>
      </c>
    </row>
    <row r="106" spans="2:14" x14ac:dyDescent="0.35">
      <c r="B106" t="s">
        <v>80</v>
      </c>
      <c r="C106" t="s">
        <v>81</v>
      </c>
      <c r="D106" t="s">
        <v>82</v>
      </c>
      <c r="E106" t="s">
        <v>83</v>
      </c>
      <c r="F106" t="s">
        <v>84</v>
      </c>
    </row>
    <row r="110" spans="2:14" x14ac:dyDescent="0.35">
      <c r="B110" s="45" t="s">
        <v>269</v>
      </c>
    </row>
    <row r="111" spans="2:14" x14ac:dyDescent="0.35">
      <c r="B111" t="s">
        <v>61</v>
      </c>
      <c r="C111" t="s">
        <v>62</v>
      </c>
      <c r="D111" t="s">
        <v>270</v>
      </c>
      <c r="E111" t="s">
        <v>63</v>
      </c>
      <c r="F111" t="s">
        <v>271</v>
      </c>
      <c r="G111" t="s">
        <v>64</v>
      </c>
      <c r="H111" t="s">
        <v>272</v>
      </c>
      <c r="I111" t="s">
        <v>65</v>
      </c>
      <c r="J111">
        <v>2.4E-2</v>
      </c>
      <c r="K111" t="s">
        <v>120</v>
      </c>
      <c r="L111" t="s">
        <v>66</v>
      </c>
      <c r="M111" t="s">
        <v>273</v>
      </c>
      <c r="N111" t="s">
        <v>274</v>
      </c>
    </row>
    <row r="112" spans="2:14" x14ac:dyDescent="0.35">
      <c r="B112" t="s">
        <v>67</v>
      </c>
    </row>
    <row r="114" spans="2:10" x14ac:dyDescent="0.35">
      <c r="B114" t="s">
        <v>68</v>
      </c>
      <c r="C114" t="s">
        <v>69</v>
      </c>
      <c r="D114">
        <v>845</v>
      </c>
    </row>
    <row r="116" spans="2:10" x14ac:dyDescent="0.35">
      <c r="B116" t="s">
        <v>70</v>
      </c>
      <c r="C116" t="s">
        <v>0</v>
      </c>
      <c r="D116" t="s">
        <v>71</v>
      </c>
      <c r="E116" t="s">
        <v>72</v>
      </c>
      <c r="F116" t="s">
        <v>73</v>
      </c>
      <c r="G116">
        <v>7.6435478391990802E-2</v>
      </c>
      <c r="H116" t="s">
        <v>74</v>
      </c>
      <c r="I116" t="s">
        <v>75</v>
      </c>
      <c r="J116">
        <v>0.1</v>
      </c>
    </row>
    <row r="117" spans="2:10" x14ac:dyDescent="0.35">
      <c r="B117" t="s">
        <v>76</v>
      </c>
      <c r="C117" t="s">
        <v>0</v>
      </c>
      <c r="D117" t="s">
        <v>71</v>
      </c>
      <c r="E117" t="s">
        <v>72</v>
      </c>
      <c r="F117" t="s">
        <v>73</v>
      </c>
      <c r="G117">
        <v>3.4064460310965702E-2</v>
      </c>
      <c r="H117" t="s">
        <v>74</v>
      </c>
      <c r="I117" t="s">
        <v>75</v>
      </c>
      <c r="J117">
        <v>0.1</v>
      </c>
    </row>
    <row r="118" spans="2:10" x14ac:dyDescent="0.35">
      <c r="B118" t="s">
        <v>70</v>
      </c>
      <c r="C118" t="s">
        <v>77</v>
      </c>
      <c r="D118" t="s">
        <v>71</v>
      </c>
      <c r="E118" t="s">
        <v>72</v>
      </c>
      <c r="F118" t="s">
        <v>73</v>
      </c>
      <c r="G118">
        <v>9.2419772745415602E-2</v>
      </c>
      <c r="H118" t="s">
        <v>74</v>
      </c>
      <c r="I118" t="s">
        <v>75</v>
      </c>
      <c r="J118">
        <v>0.1</v>
      </c>
    </row>
    <row r="119" spans="2:10" x14ac:dyDescent="0.35">
      <c r="B119" t="s">
        <v>76</v>
      </c>
      <c r="C119" t="s">
        <v>77</v>
      </c>
      <c r="D119" t="s">
        <v>71</v>
      </c>
      <c r="E119" t="s">
        <v>72</v>
      </c>
      <c r="F119" t="s">
        <v>73</v>
      </c>
      <c r="G119">
        <v>1.4652513026300501E-2</v>
      </c>
      <c r="H119" t="s">
        <v>74</v>
      </c>
      <c r="I119" t="s">
        <v>75</v>
      </c>
      <c r="J119">
        <v>0.1</v>
      </c>
    </row>
    <row r="120" spans="2:10" x14ac:dyDescent="0.35">
      <c r="B120" t="s">
        <v>70</v>
      </c>
      <c r="C120" t="s">
        <v>0</v>
      </c>
      <c r="D120" t="s">
        <v>71</v>
      </c>
      <c r="E120" t="s">
        <v>72</v>
      </c>
      <c r="F120" t="s">
        <v>78</v>
      </c>
      <c r="G120">
        <v>4.4719552353180002E-2</v>
      </c>
      <c r="H120" t="s">
        <v>74</v>
      </c>
      <c r="I120" t="s">
        <v>75</v>
      </c>
      <c r="J120">
        <v>0.1</v>
      </c>
    </row>
    <row r="121" spans="2:10" x14ac:dyDescent="0.35">
      <c r="B121" t="s">
        <v>76</v>
      </c>
      <c r="C121" t="s">
        <v>0</v>
      </c>
      <c r="D121" t="s">
        <v>71</v>
      </c>
      <c r="E121" t="s">
        <v>72</v>
      </c>
      <c r="F121" t="s">
        <v>78</v>
      </c>
      <c r="G121">
        <v>2.07523024340968E-2</v>
      </c>
      <c r="H121" t="s">
        <v>74</v>
      </c>
      <c r="I121" t="s">
        <v>75</v>
      </c>
      <c r="J121">
        <v>0.1</v>
      </c>
    </row>
    <row r="122" spans="2:10" x14ac:dyDescent="0.35">
      <c r="B122" t="s">
        <v>70</v>
      </c>
      <c r="C122" t="s">
        <v>77</v>
      </c>
      <c r="D122" t="s">
        <v>71</v>
      </c>
      <c r="E122" t="s">
        <v>72</v>
      </c>
      <c r="F122" t="s">
        <v>78</v>
      </c>
      <c r="G122">
        <v>1.4844563911537901E-2</v>
      </c>
      <c r="H122" t="s">
        <v>74</v>
      </c>
      <c r="I122" t="s">
        <v>75</v>
      </c>
      <c r="J122">
        <v>0.1</v>
      </c>
    </row>
    <row r="123" spans="2:10" x14ac:dyDescent="0.35">
      <c r="B123" t="s">
        <v>76</v>
      </c>
      <c r="C123" t="s">
        <v>77</v>
      </c>
      <c r="D123" t="s">
        <v>71</v>
      </c>
      <c r="E123" t="s">
        <v>72</v>
      </c>
      <c r="F123" t="s">
        <v>78</v>
      </c>
      <c r="G123">
        <v>6.2103110408748196E-3</v>
      </c>
      <c r="H123" t="s">
        <v>74</v>
      </c>
      <c r="I123" t="s">
        <v>75</v>
      </c>
      <c r="J123">
        <v>0.1</v>
      </c>
    </row>
    <row r="124" spans="2:10" x14ac:dyDescent="0.35">
      <c r="B124" t="s">
        <v>70</v>
      </c>
      <c r="C124" t="s">
        <v>0</v>
      </c>
      <c r="D124" t="s">
        <v>71</v>
      </c>
      <c r="E124" t="s">
        <v>72</v>
      </c>
      <c r="F124" t="s">
        <v>79</v>
      </c>
      <c r="G124">
        <v>8.4110475970246804E-2</v>
      </c>
      <c r="H124" t="s">
        <v>74</v>
      </c>
      <c r="I124" t="s">
        <v>75</v>
      </c>
      <c r="J124">
        <v>0.1</v>
      </c>
    </row>
    <row r="125" spans="2:10" x14ac:dyDescent="0.35">
      <c r="B125" t="s">
        <v>76</v>
      </c>
      <c r="C125" t="s">
        <v>0</v>
      </c>
      <c r="D125" t="s">
        <v>71</v>
      </c>
      <c r="E125" t="s">
        <v>72</v>
      </c>
      <c r="F125" t="s">
        <v>79</v>
      </c>
      <c r="G125">
        <v>3.7691293554730602E-2</v>
      </c>
      <c r="H125" t="s">
        <v>74</v>
      </c>
      <c r="I125" t="s">
        <v>75</v>
      </c>
      <c r="J125">
        <v>0.1</v>
      </c>
    </row>
    <row r="126" spans="2:10" x14ac:dyDescent="0.35">
      <c r="B126" t="s">
        <v>70</v>
      </c>
      <c r="C126" t="s">
        <v>77</v>
      </c>
      <c r="D126" t="s">
        <v>71</v>
      </c>
      <c r="E126" t="s">
        <v>72</v>
      </c>
      <c r="F126" t="s">
        <v>79</v>
      </c>
      <c r="G126">
        <v>3.2155844091903397E-2</v>
      </c>
      <c r="H126" t="s">
        <v>74</v>
      </c>
      <c r="I126" t="s">
        <v>75</v>
      </c>
      <c r="J126">
        <v>0.1</v>
      </c>
    </row>
    <row r="127" spans="2:10" x14ac:dyDescent="0.35">
      <c r="B127" t="s">
        <v>76</v>
      </c>
      <c r="C127" t="s">
        <v>77</v>
      </c>
      <c r="D127" t="s">
        <v>71</v>
      </c>
      <c r="E127" t="s">
        <v>72</v>
      </c>
      <c r="F127" t="s">
        <v>79</v>
      </c>
      <c r="G127">
        <v>2.3827882901187199E-2</v>
      </c>
      <c r="H127" t="s">
        <v>74</v>
      </c>
      <c r="I127" t="s">
        <v>75</v>
      </c>
      <c r="J127">
        <v>0.1</v>
      </c>
    </row>
    <row r="129" spans="2:10" x14ac:dyDescent="0.35">
      <c r="B129" t="s">
        <v>80</v>
      </c>
      <c r="C129" t="s">
        <v>81</v>
      </c>
      <c r="D129" t="s">
        <v>82</v>
      </c>
      <c r="E129" t="s">
        <v>83</v>
      </c>
      <c r="F129" t="s">
        <v>84</v>
      </c>
    </row>
    <row r="132" spans="2:10" x14ac:dyDescent="0.35">
      <c r="B132" s="46" t="s">
        <v>306</v>
      </c>
    </row>
    <row r="133" spans="2:10" x14ac:dyDescent="0.35">
      <c r="B133" t="s">
        <v>68</v>
      </c>
      <c r="C133" t="s">
        <v>69</v>
      </c>
      <c r="D133">
        <v>830</v>
      </c>
    </row>
    <row r="135" spans="2:10" x14ac:dyDescent="0.35">
      <c r="B135" t="s">
        <v>70</v>
      </c>
      <c r="C135" t="s">
        <v>0</v>
      </c>
      <c r="D135" t="s">
        <v>71</v>
      </c>
      <c r="E135" t="s">
        <v>72</v>
      </c>
      <c r="F135" t="s">
        <v>73</v>
      </c>
      <c r="G135">
        <v>3.7298998469399998E-2</v>
      </c>
      <c r="H135" t="s">
        <v>74</v>
      </c>
      <c r="I135" t="s">
        <v>75</v>
      </c>
      <c r="J135">
        <v>0.1</v>
      </c>
    </row>
    <row r="136" spans="2:10" x14ac:dyDescent="0.35">
      <c r="B136" t="s">
        <v>76</v>
      </c>
      <c r="C136" t="s">
        <v>0</v>
      </c>
      <c r="D136" t="s">
        <v>71</v>
      </c>
      <c r="E136" t="s">
        <v>72</v>
      </c>
      <c r="F136" t="s">
        <v>73</v>
      </c>
      <c r="G136">
        <v>9.7109110172638097E-2</v>
      </c>
      <c r="H136" t="s">
        <v>74</v>
      </c>
      <c r="I136" t="s">
        <v>75</v>
      </c>
      <c r="J136">
        <v>0.1</v>
      </c>
    </row>
    <row r="137" spans="2:10" x14ac:dyDescent="0.35">
      <c r="B137" t="s">
        <v>70</v>
      </c>
      <c r="C137" t="s">
        <v>77</v>
      </c>
      <c r="D137" t="s">
        <v>71</v>
      </c>
      <c r="E137" t="s">
        <v>72</v>
      </c>
      <c r="F137" t="s">
        <v>73</v>
      </c>
      <c r="G137">
        <v>5.4315593698447601E-2</v>
      </c>
      <c r="H137" t="s">
        <v>74</v>
      </c>
      <c r="I137" t="s">
        <v>75</v>
      </c>
      <c r="J137">
        <v>0.1</v>
      </c>
    </row>
    <row r="138" spans="2:10" x14ac:dyDescent="0.35">
      <c r="B138" t="s">
        <v>76</v>
      </c>
      <c r="C138" t="s">
        <v>77</v>
      </c>
      <c r="D138" t="s">
        <v>71</v>
      </c>
      <c r="E138" t="s">
        <v>72</v>
      </c>
      <c r="F138" t="s">
        <v>73</v>
      </c>
      <c r="G138">
        <v>1.77952897069889E-2</v>
      </c>
      <c r="H138" t="s">
        <v>74</v>
      </c>
      <c r="I138" t="s">
        <v>75</v>
      </c>
      <c r="J138">
        <v>0.1</v>
      </c>
    </row>
    <row r="139" spans="2:10" x14ac:dyDescent="0.35">
      <c r="B139" t="s">
        <v>70</v>
      </c>
      <c r="C139" t="s">
        <v>0</v>
      </c>
      <c r="D139" t="s">
        <v>71</v>
      </c>
      <c r="E139" t="s">
        <v>72</v>
      </c>
      <c r="F139" t="s">
        <v>78</v>
      </c>
      <c r="G139">
        <v>3.7979947852852601E-2</v>
      </c>
      <c r="H139" t="s">
        <v>74</v>
      </c>
      <c r="I139" t="s">
        <v>75</v>
      </c>
      <c r="J139">
        <v>0.1</v>
      </c>
    </row>
    <row r="140" spans="2:10" x14ac:dyDescent="0.35">
      <c r="B140" t="s">
        <v>76</v>
      </c>
      <c r="C140" t="s">
        <v>0</v>
      </c>
      <c r="D140" t="s">
        <v>71</v>
      </c>
      <c r="E140" t="s">
        <v>72</v>
      </c>
      <c r="F140" t="s">
        <v>78</v>
      </c>
      <c r="G140">
        <v>5.49569287514593E-2</v>
      </c>
      <c r="H140" t="s">
        <v>74</v>
      </c>
      <c r="I140" t="s">
        <v>75</v>
      </c>
      <c r="J140">
        <v>0.1</v>
      </c>
    </row>
    <row r="141" spans="2:10" x14ac:dyDescent="0.35">
      <c r="B141" t="s">
        <v>70</v>
      </c>
      <c r="C141" t="s">
        <v>77</v>
      </c>
      <c r="D141" t="s">
        <v>71</v>
      </c>
      <c r="E141" t="s">
        <v>72</v>
      </c>
      <c r="F141" t="s">
        <v>78</v>
      </c>
      <c r="G141">
        <v>5.6907918644583298E-2</v>
      </c>
      <c r="H141" t="s">
        <v>74</v>
      </c>
      <c r="I141" t="s">
        <v>75</v>
      </c>
      <c r="J141">
        <v>0.1</v>
      </c>
    </row>
    <row r="142" spans="2:10" x14ac:dyDescent="0.35">
      <c r="B142" t="s">
        <v>76</v>
      </c>
      <c r="C142" t="s">
        <v>77</v>
      </c>
      <c r="D142" t="s">
        <v>71</v>
      </c>
      <c r="E142" t="s">
        <v>72</v>
      </c>
      <c r="F142" t="s">
        <v>78</v>
      </c>
      <c r="G142">
        <v>6.1309860675697297E-2</v>
      </c>
      <c r="H142" t="s">
        <v>74</v>
      </c>
      <c r="I142" t="s">
        <v>75</v>
      </c>
      <c r="J142">
        <v>0.1</v>
      </c>
    </row>
    <row r="143" spans="2:10" x14ac:dyDescent="0.35">
      <c r="B143" t="s">
        <v>70</v>
      </c>
      <c r="C143" t="s">
        <v>0</v>
      </c>
      <c r="D143" t="s">
        <v>71</v>
      </c>
      <c r="E143" t="s">
        <v>72</v>
      </c>
      <c r="F143" t="s">
        <v>79</v>
      </c>
      <c r="G143">
        <v>3.1222111296832101E-2</v>
      </c>
      <c r="H143" t="s">
        <v>74</v>
      </c>
      <c r="I143" t="s">
        <v>75</v>
      </c>
      <c r="J143">
        <v>0.1</v>
      </c>
    </row>
    <row r="144" spans="2:10" x14ac:dyDescent="0.35">
      <c r="B144" t="s">
        <v>76</v>
      </c>
      <c r="C144" t="s">
        <v>0</v>
      </c>
      <c r="D144" t="s">
        <v>71</v>
      </c>
      <c r="E144" t="s">
        <v>72</v>
      </c>
      <c r="F144" t="s">
        <v>79</v>
      </c>
      <c r="G144">
        <v>5.0573215159873203E-2</v>
      </c>
      <c r="H144" t="s">
        <v>74</v>
      </c>
      <c r="I144" t="s">
        <v>75</v>
      </c>
      <c r="J144">
        <v>0.1</v>
      </c>
    </row>
    <row r="145" spans="2:10" x14ac:dyDescent="0.35">
      <c r="B145" t="s">
        <v>70</v>
      </c>
      <c r="C145" t="s">
        <v>77</v>
      </c>
      <c r="D145" t="s">
        <v>71</v>
      </c>
      <c r="E145" t="s">
        <v>72</v>
      </c>
      <c r="F145" t="s">
        <v>79</v>
      </c>
      <c r="G145">
        <v>3.3956321691675798E-2</v>
      </c>
      <c r="H145" t="s">
        <v>74</v>
      </c>
      <c r="I145" t="s">
        <v>75</v>
      </c>
      <c r="J145">
        <v>0.1</v>
      </c>
    </row>
    <row r="146" spans="2:10" x14ac:dyDescent="0.35">
      <c r="B146" t="s">
        <v>76</v>
      </c>
      <c r="C146" t="s">
        <v>77</v>
      </c>
      <c r="D146" t="s">
        <v>71</v>
      </c>
      <c r="E146" t="s">
        <v>72</v>
      </c>
      <c r="F146" t="s">
        <v>79</v>
      </c>
      <c r="G146">
        <v>9.9230138899873796E-2</v>
      </c>
      <c r="H146" t="s">
        <v>74</v>
      </c>
      <c r="I146" t="s">
        <v>75</v>
      </c>
      <c r="J146">
        <v>0.1</v>
      </c>
    </row>
    <row r="148" spans="2:10" x14ac:dyDescent="0.35">
      <c r="B148" t="s">
        <v>80</v>
      </c>
      <c r="C148" t="s">
        <v>81</v>
      </c>
      <c r="D148" t="s">
        <v>82</v>
      </c>
      <c r="E148" t="s">
        <v>83</v>
      </c>
      <c r="F148" t="s">
        <v>84</v>
      </c>
    </row>
    <row r="150" spans="2:10" x14ac:dyDescent="0.35">
      <c r="B150" t="s">
        <v>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4BA6-A789-487B-AD2A-9307B7B71F09}">
  <dimension ref="A2:R69"/>
  <sheetViews>
    <sheetView topLeftCell="A19" zoomScaleNormal="100" workbookViewId="0">
      <selection activeCell="F30" sqref="F30"/>
    </sheetView>
  </sheetViews>
  <sheetFormatPr defaultRowHeight="14.5" x14ac:dyDescent="0.35"/>
  <cols>
    <col min="3" max="3" width="32.26953125" customWidth="1"/>
    <col min="4" max="4" width="38.26953125" customWidth="1"/>
    <col min="5" max="5" width="14.453125" customWidth="1"/>
    <col min="7" max="7" width="12" bestFit="1" customWidth="1"/>
    <col min="10" max="10" width="12" bestFit="1" customWidth="1"/>
    <col min="12" max="12" width="12.81640625" customWidth="1"/>
  </cols>
  <sheetData>
    <row r="2" spans="1:18" x14ac:dyDescent="0.35">
      <c r="C2" s="4" t="s">
        <v>54</v>
      </c>
    </row>
    <row r="3" spans="1:18" x14ac:dyDescent="0.35">
      <c r="A3" s="33" t="s">
        <v>30</v>
      </c>
      <c r="B3" s="24" t="s">
        <v>47</v>
      </c>
    </row>
    <row r="4" spans="1:18" x14ac:dyDescent="0.35">
      <c r="A4" s="33"/>
    </row>
    <row r="5" spans="1:18" x14ac:dyDescent="0.35">
      <c r="A5" s="33" t="s">
        <v>31</v>
      </c>
      <c r="B5" s="24" t="s">
        <v>48</v>
      </c>
    </row>
    <row r="6" spans="1:18" x14ac:dyDescent="0.35">
      <c r="A6" s="33"/>
    </row>
    <row r="7" spans="1:18" x14ac:dyDescent="0.35">
      <c r="A7" s="33" t="s">
        <v>32</v>
      </c>
      <c r="B7" s="24" t="s">
        <v>49</v>
      </c>
    </row>
    <row r="8" spans="1:18" x14ac:dyDescent="0.35">
      <c r="A8" s="33"/>
    </row>
    <row r="11" spans="1:18" x14ac:dyDescent="0.35">
      <c r="B11" s="25" t="s">
        <v>50</v>
      </c>
    </row>
    <row r="12" spans="1:18" x14ac:dyDescent="0.35">
      <c r="B12" t="s">
        <v>52</v>
      </c>
    </row>
    <row r="13" spans="1:18" x14ac:dyDescent="0.35">
      <c r="B13" s="25" t="s">
        <v>44</v>
      </c>
      <c r="C13" s="26">
        <v>14185.6</v>
      </c>
    </row>
    <row r="14" spans="1:18" x14ac:dyDescent="0.35">
      <c r="B14" s="25" t="s">
        <v>42</v>
      </c>
      <c r="C14" s="26">
        <v>13171.8</v>
      </c>
      <c r="R14" s="23"/>
    </row>
    <row r="15" spans="1:18" x14ac:dyDescent="0.35">
      <c r="B15" s="25" t="s">
        <v>43</v>
      </c>
      <c r="C15">
        <v>12813.3</v>
      </c>
      <c r="R15" s="23"/>
    </row>
    <row r="16" spans="1:18" x14ac:dyDescent="0.35">
      <c r="C16" s="26">
        <f>SUM(C13:C15)</f>
        <v>40170.699999999997</v>
      </c>
      <c r="R16" s="23"/>
    </row>
    <row r="19" spans="2:18" x14ac:dyDescent="0.35">
      <c r="B19" t="s">
        <v>51</v>
      </c>
      <c r="F19" t="s">
        <v>53</v>
      </c>
    </row>
    <row r="20" spans="2:18" x14ac:dyDescent="0.35">
      <c r="B20" t="s">
        <v>44</v>
      </c>
      <c r="C20" s="27">
        <v>16123.6</v>
      </c>
      <c r="D20">
        <f>C13/C20</f>
        <v>0.87980351782480337</v>
      </c>
      <c r="F20" t="s">
        <v>44</v>
      </c>
      <c r="G20">
        <v>0</v>
      </c>
      <c r="H20" s="28" t="s">
        <v>45</v>
      </c>
      <c r="J20" s="26">
        <f>C20-G20</f>
        <v>16123.6</v>
      </c>
      <c r="R20" s="22"/>
    </row>
    <row r="21" spans="2:18" x14ac:dyDescent="0.35">
      <c r="B21" t="s">
        <v>42</v>
      </c>
      <c r="C21" s="27">
        <v>13171.8</v>
      </c>
      <c r="D21">
        <f>C14/C21</f>
        <v>1</v>
      </c>
      <c r="F21" t="s">
        <v>42</v>
      </c>
      <c r="G21">
        <v>1011.4</v>
      </c>
      <c r="H21" s="28" t="s">
        <v>46</v>
      </c>
      <c r="J21" s="26">
        <f t="shared" ref="J21:J22" si="0">C21-G21</f>
        <v>12160.4</v>
      </c>
      <c r="R21" s="23"/>
    </row>
    <row r="22" spans="2:18" x14ac:dyDescent="0.35">
      <c r="B22" t="s">
        <v>43</v>
      </c>
      <c r="C22" s="27">
        <v>14180.4</v>
      </c>
      <c r="D22">
        <f>C15/C22</f>
        <v>0.90359228230515354</v>
      </c>
      <c r="F22" t="s">
        <v>43</v>
      </c>
      <c r="G22">
        <v>3004.2</v>
      </c>
      <c r="H22" s="28" t="s">
        <v>46</v>
      </c>
      <c r="J22" s="26">
        <f t="shared" si="0"/>
        <v>11176.2</v>
      </c>
      <c r="R22" s="22"/>
    </row>
    <row r="23" spans="2:18" x14ac:dyDescent="0.35">
      <c r="C23" s="26">
        <f>SUM(C20:C22)</f>
        <v>43475.8</v>
      </c>
      <c r="J23" s="26">
        <f>SUM(J20:J22)</f>
        <v>39460.199999999997</v>
      </c>
    </row>
    <row r="26" spans="2:18" x14ac:dyDescent="0.35">
      <c r="C26" s="4" t="s">
        <v>55</v>
      </c>
    </row>
    <row r="28" spans="2:18" x14ac:dyDescent="0.35">
      <c r="B28" s="25" t="s">
        <v>60</v>
      </c>
    </row>
    <row r="29" spans="2:18" x14ac:dyDescent="0.35">
      <c r="B29" s="29"/>
      <c r="C29" s="29" t="s">
        <v>109</v>
      </c>
      <c r="E29" s="29" t="s">
        <v>110</v>
      </c>
    </row>
    <row r="30" spans="2:18" x14ac:dyDescent="0.35">
      <c r="B30" s="47" t="s">
        <v>44</v>
      </c>
      <c r="C30" s="30">
        <f>C63</f>
        <v>16005.862999999999</v>
      </c>
    </row>
    <row r="31" spans="2:18" x14ac:dyDescent="0.35">
      <c r="B31" s="47" t="s">
        <v>42</v>
      </c>
      <c r="C31" s="30">
        <f>D63</f>
        <v>14828.45</v>
      </c>
      <c r="R31" s="23"/>
    </row>
    <row r="32" spans="2:18" x14ac:dyDescent="0.35">
      <c r="B32" s="47" t="s">
        <v>43</v>
      </c>
      <c r="C32" s="30">
        <f>E63</f>
        <v>14769.92</v>
      </c>
      <c r="R32" s="23"/>
    </row>
    <row r="33" spans="2:18" x14ac:dyDescent="0.35">
      <c r="C33" s="31">
        <f>SUM(C30:C32)</f>
        <v>45604.233</v>
      </c>
      <c r="R33" s="23"/>
    </row>
    <row r="34" spans="2:18" x14ac:dyDescent="0.35">
      <c r="C34" s="28" t="s">
        <v>57</v>
      </c>
    </row>
    <row r="35" spans="2:18" x14ac:dyDescent="0.35">
      <c r="C35" s="29" t="s">
        <v>58</v>
      </c>
    </row>
    <row r="36" spans="2:18" x14ac:dyDescent="0.35">
      <c r="C36" s="29"/>
    </row>
    <row r="37" spans="2:18" x14ac:dyDescent="0.35">
      <c r="B37" s="25" t="s">
        <v>56</v>
      </c>
      <c r="C37" t="s">
        <v>108</v>
      </c>
    </row>
    <row r="38" spans="2:18" x14ac:dyDescent="0.35">
      <c r="B38" s="29" t="s">
        <v>106</v>
      </c>
      <c r="E38">
        <v>0.96</v>
      </c>
    </row>
    <row r="39" spans="2:18" x14ac:dyDescent="0.35">
      <c r="C39" s="29" t="s">
        <v>105</v>
      </c>
      <c r="D39" s="29" t="s">
        <v>107</v>
      </c>
      <c r="E39" s="29" t="s">
        <v>59</v>
      </c>
    </row>
    <row r="40" spans="2:18" x14ac:dyDescent="0.35">
      <c r="B40" t="s">
        <v>44</v>
      </c>
      <c r="C40" s="25">
        <f>19000*E38</f>
        <v>18240</v>
      </c>
      <c r="D40" s="28">
        <f>C62</f>
        <v>16869.86</v>
      </c>
      <c r="G40">
        <f>C40/C43</f>
        <v>0.35849056603773582</v>
      </c>
      <c r="H40" s="28"/>
      <c r="J40" s="26"/>
      <c r="R40" s="22"/>
    </row>
    <row r="41" spans="2:18" x14ac:dyDescent="0.35">
      <c r="B41" t="s">
        <v>42</v>
      </c>
      <c r="C41" s="25">
        <f>16000*E38</f>
        <v>15360</v>
      </c>
      <c r="D41" s="28">
        <f>D63</f>
        <v>14828.45</v>
      </c>
      <c r="G41">
        <f>C41/C43</f>
        <v>0.30188679245283018</v>
      </c>
      <c r="H41" s="28"/>
      <c r="J41" s="26"/>
      <c r="R41" s="23"/>
    </row>
    <row r="42" spans="2:18" x14ac:dyDescent="0.35">
      <c r="B42" t="s">
        <v>43</v>
      </c>
      <c r="C42" s="25">
        <f>18000*E38</f>
        <v>17280</v>
      </c>
      <c r="D42" s="28">
        <f>E64</f>
        <v>16449.919999999998</v>
      </c>
      <c r="G42">
        <f>C42/C43</f>
        <v>0.33962264150943394</v>
      </c>
      <c r="H42" s="28"/>
      <c r="J42" s="26"/>
      <c r="R42" s="22"/>
    </row>
    <row r="43" spans="2:18" x14ac:dyDescent="0.35">
      <c r="C43" s="32">
        <f>SUM(C40:C42)</f>
        <v>50880</v>
      </c>
      <c r="D43" s="35">
        <f>SUM(D40:D42)</f>
        <v>48148.229999999996</v>
      </c>
      <c r="E43" s="4"/>
      <c r="J43" s="26"/>
    </row>
    <row r="46" spans="2:18" x14ac:dyDescent="0.35">
      <c r="B46" t="s">
        <v>104</v>
      </c>
    </row>
    <row r="47" spans="2:18" x14ac:dyDescent="0.35">
      <c r="B47" t="s">
        <v>44</v>
      </c>
      <c r="C47" t="s">
        <v>42</v>
      </c>
      <c r="D47" t="s">
        <v>43</v>
      </c>
    </row>
    <row r="48" spans="2:18" x14ac:dyDescent="0.35">
      <c r="B48" s="25">
        <v>1370.14</v>
      </c>
      <c r="C48">
        <v>531.54999999999995</v>
      </c>
      <c r="D48" s="25">
        <v>830.08</v>
      </c>
    </row>
    <row r="49" spans="2:12" x14ac:dyDescent="0.35">
      <c r="B49">
        <v>1370.1369999999999</v>
      </c>
      <c r="C49">
        <v>531.54999999999995</v>
      </c>
      <c r="D49" s="25">
        <v>830.08</v>
      </c>
    </row>
    <row r="50" spans="2:12" x14ac:dyDescent="0.35">
      <c r="B50">
        <v>1370.1369999999999</v>
      </c>
      <c r="C50">
        <v>531.54999999999995</v>
      </c>
      <c r="D50" s="25">
        <v>830.08</v>
      </c>
    </row>
    <row r="53" spans="2:12" x14ac:dyDescent="0.35">
      <c r="C53" s="4" t="s">
        <v>119</v>
      </c>
    </row>
    <row r="54" spans="2:12" x14ac:dyDescent="0.35">
      <c r="C54" s="4" t="s">
        <v>30</v>
      </c>
      <c r="D54" s="4" t="s">
        <v>31</v>
      </c>
      <c r="E54" s="4" t="s">
        <v>32</v>
      </c>
    </row>
    <row r="55" spans="2:12" x14ac:dyDescent="0.35">
      <c r="B55" t="s">
        <v>111</v>
      </c>
      <c r="C55">
        <v>18240</v>
      </c>
      <c r="D55">
        <f>13824</f>
        <v>13824</v>
      </c>
      <c r="E55">
        <f>15552</f>
        <v>15552</v>
      </c>
    </row>
    <row r="56" spans="2:12" x14ac:dyDescent="0.35">
      <c r="B56" t="s">
        <v>112</v>
      </c>
      <c r="C56">
        <v>17376</v>
      </c>
      <c r="D56">
        <v>15360</v>
      </c>
      <c r="E56">
        <v>15600</v>
      </c>
    </row>
    <row r="57" spans="2:12" x14ac:dyDescent="0.35">
      <c r="B57" t="s">
        <v>113</v>
      </c>
      <c r="C57">
        <v>16416</v>
      </c>
      <c r="D57">
        <v>13824</v>
      </c>
      <c r="E57">
        <v>17280</v>
      </c>
    </row>
    <row r="60" spans="2:12" x14ac:dyDescent="0.35">
      <c r="C60" s="4" t="s">
        <v>118</v>
      </c>
      <c r="D60" t="s">
        <v>114</v>
      </c>
    </row>
    <row r="61" spans="2:12" x14ac:dyDescent="0.35">
      <c r="C61" s="4" t="s">
        <v>30</v>
      </c>
      <c r="D61" s="4" t="s">
        <v>31</v>
      </c>
      <c r="E61" s="4" t="s">
        <v>32</v>
      </c>
      <c r="G61" t="s">
        <v>115</v>
      </c>
      <c r="L61" t="s">
        <v>122</v>
      </c>
    </row>
    <row r="62" spans="2:12" x14ac:dyDescent="0.35">
      <c r="B62" t="s">
        <v>111</v>
      </c>
      <c r="C62">
        <f>C55-B48</f>
        <v>16869.86</v>
      </c>
      <c r="D62">
        <f>D55-C48</f>
        <v>13292.45</v>
      </c>
      <c r="E62">
        <f>E55-D48</f>
        <v>14721.92</v>
      </c>
      <c r="G62">
        <f>SUM(C62:E62)</f>
        <v>44884.23</v>
      </c>
      <c r="J62">
        <f>C63</f>
        <v>16005.862999999999</v>
      </c>
      <c r="L62">
        <v>16349</v>
      </c>
    </row>
    <row r="63" spans="2:12" x14ac:dyDescent="0.35">
      <c r="B63" t="s">
        <v>112</v>
      </c>
      <c r="C63">
        <f>C56-B49</f>
        <v>16005.862999999999</v>
      </c>
      <c r="D63">
        <f t="shared" ref="D63:E64" si="1">D56-C49</f>
        <v>14828.45</v>
      </c>
      <c r="E63">
        <f t="shared" si="1"/>
        <v>14769.92</v>
      </c>
      <c r="G63">
        <f t="shared" ref="G63:G64" si="2">SUM(C63:E63)</f>
        <v>45604.233</v>
      </c>
      <c r="H63" s="28" t="s">
        <v>116</v>
      </c>
      <c r="J63">
        <f>D63</f>
        <v>14828.45</v>
      </c>
      <c r="L63">
        <v>13768</v>
      </c>
    </row>
    <row r="64" spans="2:12" x14ac:dyDescent="0.35">
      <c r="B64" t="s">
        <v>113</v>
      </c>
      <c r="C64">
        <f>C57-B50</f>
        <v>15045.862999999999</v>
      </c>
      <c r="D64">
        <f t="shared" si="1"/>
        <v>13292.45</v>
      </c>
      <c r="E64">
        <f t="shared" si="1"/>
        <v>16449.919999999998</v>
      </c>
      <c r="G64">
        <f t="shared" si="2"/>
        <v>44788.233</v>
      </c>
      <c r="J64">
        <f>E63</f>
        <v>14769.92</v>
      </c>
      <c r="L64">
        <v>15489</v>
      </c>
    </row>
    <row r="65" spans="2:12" x14ac:dyDescent="0.35">
      <c r="L65">
        <f>SUM(L62:L64)</f>
        <v>45606</v>
      </c>
    </row>
    <row r="66" spans="2:12" x14ac:dyDescent="0.35">
      <c r="C66" s="4" t="s">
        <v>117</v>
      </c>
    </row>
    <row r="67" spans="2:12" x14ac:dyDescent="0.35">
      <c r="B67" t="s">
        <v>111</v>
      </c>
      <c r="C67">
        <f>C62/J62</f>
        <v>1.0539800321919537</v>
      </c>
      <c r="D67">
        <f>D62/J63</f>
        <v>0.89641533673445306</v>
      </c>
      <c r="E67">
        <f>E62/J64</f>
        <v>0.99675015165958925</v>
      </c>
    </row>
    <row r="68" spans="2:12" x14ac:dyDescent="0.35">
      <c r="B68" t="s">
        <v>112</v>
      </c>
      <c r="C68">
        <f>C63/J62</f>
        <v>1</v>
      </c>
      <c r="D68">
        <f>D63/J63</f>
        <v>1</v>
      </c>
      <c r="E68">
        <f>E63/J64</f>
        <v>1</v>
      </c>
      <c r="H68" s="28" t="s">
        <v>116</v>
      </c>
    </row>
    <row r="69" spans="2:12" x14ac:dyDescent="0.35">
      <c r="B69" t="s">
        <v>113</v>
      </c>
      <c r="C69">
        <f>C64/J62</f>
        <v>0.94002197819636468</v>
      </c>
      <c r="D69">
        <f>D64/J63</f>
        <v>0.89641533673445306</v>
      </c>
      <c r="E69">
        <f>E64/J64</f>
        <v>1.1137446919143772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params</vt:lpstr>
      <vt:lpstr>nodal allocation</vt:lpstr>
      <vt:lpstr>ATC_box</vt:lpstr>
      <vt:lpstr>Congestion rent</vt:lpstr>
      <vt:lpstr>R2R_capacity_demand_correction</vt:lpstr>
      <vt:lpstr>ATC_box (cm-ref)</vt:lpstr>
      <vt:lpstr>R2R_capacity_demand_proportions</vt:lpstr>
      <vt:lpstr>ADMM_Residuals</vt:lpstr>
      <vt:lpstr>R2R_capacity_demand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Kamaldeen Adekola</dc:creator>
  <cp:lastModifiedBy>Kamaldeen Adekola</cp:lastModifiedBy>
  <dcterms:created xsi:type="dcterms:W3CDTF">2015-06-05T18:17:20Z</dcterms:created>
  <dcterms:modified xsi:type="dcterms:W3CDTF">2026-08-30T16:44:54Z</dcterms:modified>
</cp:coreProperties>
</file>