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dekola\github_codes\cross_border-CM\analysis_data\"/>
    </mc:Choice>
  </mc:AlternateContent>
  <xr:revisionPtr revIDLastSave="0" documentId="13_ncr:1_{3F341F13-E6D2-44E4-AC76-D3D137832BD5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params" sheetId="5" r:id="rId1"/>
    <sheet name="locational_const" sheetId="2" r:id="rId2"/>
    <sheet name="nodal allocation" sheetId="3" r:id="rId3"/>
    <sheet name="ATC_box" sheetId="4" r:id="rId4"/>
    <sheet name="Sheet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3" l="1"/>
  <c r="G36" i="3"/>
  <c r="G35" i="3"/>
  <c r="G30" i="3"/>
  <c r="G29" i="3"/>
  <c r="N32" i="3"/>
  <c r="N31" i="3"/>
  <c r="N30" i="3"/>
  <c r="N29" i="3"/>
  <c r="N23" i="3"/>
  <c r="N24" i="3"/>
  <c r="N25" i="3"/>
  <c r="N22" i="3"/>
  <c r="G16" i="3"/>
  <c r="G17" i="3"/>
  <c r="D20" i="3"/>
  <c r="F20" i="3"/>
  <c r="N17" i="3"/>
  <c r="N18" i="3"/>
  <c r="N19" i="3"/>
  <c r="N16" i="3"/>
  <c r="G10" i="3"/>
  <c r="G4" i="3"/>
  <c r="F5" i="3"/>
  <c r="N35" i="3"/>
  <c r="N36" i="3"/>
  <c r="N37" i="3"/>
  <c r="N38" i="3"/>
  <c r="R39" i="3"/>
  <c r="R26" i="3"/>
  <c r="R20" i="3"/>
  <c r="G23" i="3"/>
  <c r="G22" i="3"/>
  <c r="F10" i="3"/>
  <c r="F13" i="3"/>
  <c r="F12" i="3"/>
  <c r="F11" i="3"/>
  <c r="D8" i="3"/>
  <c r="F7" i="3"/>
  <c r="F6" i="3"/>
  <c r="F4" i="3"/>
  <c r="F33" i="3"/>
  <c r="D33" i="3"/>
  <c r="D39" i="3"/>
  <c r="F39" i="3"/>
  <c r="D26" i="3"/>
  <c r="F26" i="3"/>
  <c r="D14" i="3"/>
  <c r="G11" i="3" l="1"/>
  <c r="G5" i="3"/>
  <c r="F14" i="3"/>
  <c r="F8" i="3"/>
</calcChain>
</file>

<file path=xl/sharedStrings.xml><?xml version="1.0" encoding="utf-8"?>
<sst xmlns="http://schemas.openxmlformats.org/spreadsheetml/2006/main" count="581" uniqueCount="228">
  <si>
    <t>Technology</t>
  </si>
  <si>
    <t>EOM</t>
  </si>
  <si>
    <t>price cap</t>
  </si>
  <si>
    <t>NoCBP</t>
  </si>
  <si>
    <t>Implicit</t>
  </si>
  <si>
    <t>NTC</t>
  </si>
  <si>
    <t>FBMC</t>
  </si>
  <si>
    <t>─────┼───────────────────────────</t>
  </si>
  <si>
    <t>simultaneous scarcity</t>
  </si>
  <si>
    <t>scarcity at A</t>
  </si>
  <si>
    <t>scarcity at B</t>
  </si>
  <si>
    <t>scarcity at C</t>
  </si>
  <si>
    <t>Y_Nodal split</t>
  </si>
  <si>
    <t>MCP</t>
  </si>
  <si>
    <t>Planner</t>
  </si>
  <si>
    <t>n1</t>
  </si>
  <si>
    <t>n2</t>
  </si>
  <si>
    <t>n3</t>
  </si>
  <si>
    <t>n4</t>
  </si>
  <si>
    <t>Price cap</t>
  </si>
  <si>
    <t>─────┼────────────────────────────────</t>
  </si>
  <si>
    <t>No CBP</t>
  </si>
  <si>
    <t>Demand during scarcity</t>
  </si>
  <si>
    <t>5×3</t>
  </si>
  <si>
    <t>DataFrame</t>
  </si>
  <si>
    <t>Row</t>
  </si>
  <si>
    <t>│</t>
  </si>
  <si>
    <t>x1</t>
  </si>
  <si>
    <t>x2</t>
  </si>
  <si>
    <t>x3</t>
  </si>
  <si>
    <t>Float64</t>
  </si>
  <si>
    <t>===</t>
  </si>
  <si>
    <t>ATC-EP</t>
  </si>
  <si>
    <t>results</t>
  </si>
  <si>
    <t>(:A,</t>
  </si>
  <si>
    <t>:C)</t>
  </si>
  <si>
    <t>(:C,</t>
  </si>
  <si>
    <t>:B)</t>
  </si>
  <si>
    <t>(:B,</t>
  </si>
  <si>
    <t>:A)</t>
  </si>
  <si>
    <t>ATC:</t>
  </si>
  <si>
    <t>Dict((:A,</t>
  </si>
  <si>
    <t>=&gt;</t>
  </si>
  <si>
    <t>Simultaneous scarcity</t>
  </si>
  <si>
    <t>Scarcity at A</t>
  </si>
  <si>
    <t>Scarcity at B</t>
  </si>
  <si>
    <t>Scarcity at C</t>
  </si>
  <si>
    <t>A</t>
  </si>
  <si>
    <t>B</t>
  </si>
  <si>
    <t>C</t>
  </si>
  <si>
    <t>Capacity demand for FBMC</t>
  </si>
  <si>
    <t>Capacity demand for explicit</t>
  </si>
  <si>
    <t>Capacity demand for implicit</t>
  </si>
  <si>
    <t>perfect foresightof scarcity and imports</t>
  </si>
  <si>
    <t>Dual of constraint that guides nodal allocation of zonal capacity</t>
  </si>
  <si>
    <t>And</t>
  </si>
  <si>
    <t>data,</t>
  </si>
  <si>
    <t>a</t>
  </si>
  <si>
    <t>5×4</t>
  </si>
  <si>
    <t>Matrix{Float64}:</t>
  </si>
  <si>
    <t>─────┼──────────────────────────────</t>
  </si>
  <si>
    <t>Derived from FBMC - central planner</t>
  </si>
  <si>
    <r>
      <t>General</t>
    </r>
    <r>
      <rPr>
        <sz val="11"/>
        <color rgb="FFF8F8F0"/>
        <rFont val="Consolas"/>
        <family val="3"/>
      </rPr>
      <t xml:space="preserve">: </t>
    </r>
  </si>
  <si>
    <r>
      <t xml:space="preserve">  </t>
    </r>
    <r>
      <rPr>
        <sz val="11"/>
        <color rgb="FFFF3F4F"/>
        <rFont val="Consolas"/>
        <family val="3"/>
      </rPr>
      <t>nTimesteps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24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number of timesteps</t>
    </r>
  </si>
  <si>
    <r>
      <t xml:space="preserve">  </t>
    </r>
    <r>
      <rPr>
        <sz val="11"/>
        <color rgb="FFFF3F4F"/>
        <rFont val="Consolas"/>
        <family val="3"/>
      </rPr>
      <t>nReprDays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days</t>
    </r>
  </si>
  <si>
    <r>
      <t xml:space="preserve">  </t>
    </r>
    <r>
      <rPr>
        <sz val="11"/>
        <color rgb="FFFF3F4F"/>
        <rFont val="Consolas"/>
        <family val="3"/>
      </rPr>
      <t>nDays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365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days</t>
    </r>
  </si>
  <si>
    <r>
      <t xml:space="preserve">  </t>
    </r>
    <r>
      <rPr>
        <sz val="11"/>
        <color rgb="FFFF3F4F"/>
        <rFont val="Consolas"/>
        <family val="3"/>
      </rPr>
      <t>nYears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years</t>
    </r>
  </si>
  <si>
    <r>
      <t xml:space="preserve">  </t>
    </r>
    <r>
      <rPr>
        <sz val="11"/>
        <color rgb="FFFF3F4F"/>
        <rFont val="Consolas"/>
        <family val="3"/>
      </rPr>
      <t>sigmaCM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CM switch</t>
    </r>
  </si>
  <si>
    <r>
      <t>ADMM</t>
    </r>
    <r>
      <rPr>
        <sz val="11"/>
        <color rgb="FFF8F8F0"/>
        <rFont val="Consolas"/>
        <family val="3"/>
      </rPr>
      <t>:</t>
    </r>
  </si>
  <si>
    <r>
      <t xml:space="preserve">  </t>
    </r>
    <r>
      <rPr>
        <sz val="11"/>
        <color rgb="FFFF3F4F"/>
        <rFont val="Consolas"/>
        <family val="3"/>
      </rPr>
      <t>rho_EOM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1.2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rho ADMM penalty term, EOM</t>
    </r>
  </si>
  <si>
    <r>
      <t xml:space="preserve">  </t>
    </r>
    <r>
      <rPr>
        <sz val="11"/>
        <color rgb="FFFF3F4F"/>
        <rFont val="Consolas"/>
        <family val="3"/>
      </rPr>
      <t>rho_CM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rho ADMM penalty term, CM</t>
    </r>
  </si>
  <si>
    <r>
      <t xml:space="preserve">  </t>
    </r>
    <r>
      <rPr>
        <sz val="11"/>
        <color rgb="FFFF3F4F"/>
        <rFont val="Consolas"/>
        <family val="3"/>
      </rPr>
      <t>max_iter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10000</t>
    </r>
  </si>
  <si>
    <r>
      <t xml:space="preserve">  </t>
    </r>
    <r>
      <rPr>
        <sz val="11"/>
        <color rgb="FFFF3F4F"/>
        <rFont val="Consolas"/>
        <family val="3"/>
      </rPr>
      <t>epsilon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0.1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0.1 # stopping criterion - tolerance on "accuracy" with which the coupling constraints are satisfied. Applied to dual and primal residuals.</t>
    </r>
  </si>
  <si>
    <r>
      <t xml:space="preserve">  </t>
    </r>
    <r>
      <rPr>
        <sz val="11"/>
        <color rgb="FFFF3F4F"/>
        <rFont val="Consolas"/>
        <family val="3"/>
      </rPr>
      <t>CircularBufferSize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5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number of iterations for which data will be retained, should be at least 2 and less than max_iter</t>
    </r>
  </si>
  <si>
    <r>
      <t>EOM</t>
    </r>
    <r>
      <rPr>
        <sz val="11"/>
        <color rgb="FFF8F8F0"/>
        <rFont val="Consolas"/>
        <family val="3"/>
      </rPr>
      <t xml:space="preserve">: </t>
    </r>
  </si>
  <si>
    <r>
      <t xml:space="preserve">  </t>
    </r>
    <r>
      <rPr>
        <sz val="11"/>
        <color rgb="FFFF3F4F"/>
        <rFont val="Consolas"/>
        <family val="3"/>
      </rPr>
      <t>parameter_A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 xml:space="preserve"># dummy, not used </t>
    </r>
  </si>
  <si>
    <r>
      <t>Consumers</t>
    </r>
    <r>
      <rPr>
        <sz val="11"/>
        <color rgb="FFF8F8F0"/>
        <rFont val="Consolas"/>
        <family val="3"/>
      </rPr>
      <t xml:space="preserve">: </t>
    </r>
    <r>
      <rPr>
        <i/>
        <sz val="11"/>
        <color rgb="FF5C6370"/>
        <rFont val="Consolas"/>
        <family val="3"/>
      </rPr>
      <t># consumers by zones</t>
    </r>
  </si>
  <si>
    <r>
      <t xml:space="preserve">  </t>
    </r>
    <r>
      <rPr>
        <sz val="11"/>
        <color rgb="FFFF3F4F"/>
        <rFont val="Consolas"/>
        <family val="3"/>
      </rPr>
      <t>A</t>
    </r>
    <r>
      <rPr>
        <sz val="11"/>
        <color rgb="FFF8F8F0"/>
        <rFont val="Consolas"/>
        <family val="3"/>
      </rPr>
      <t>:</t>
    </r>
  </si>
  <si>
    <r>
      <t xml:space="preserve">    </t>
    </r>
    <r>
      <rPr>
        <sz val="11"/>
        <color rgb="FFFF3F4F"/>
        <rFont val="Consolas"/>
        <family val="3"/>
      </rPr>
      <t>WTP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4000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Max clearing price (€/MWh)</t>
    </r>
  </si>
  <si>
    <r>
      <t xml:space="preserve">    </t>
    </r>
    <r>
      <rPr>
        <sz val="11"/>
        <color rgb="FFFF3F4F"/>
        <rFont val="Consolas"/>
        <family val="3"/>
      </rPr>
      <t>D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"A"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Demand timeseries that needs to be picked up</t>
    </r>
  </si>
  <si>
    <r>
      <t xml:space="preserve">    </t>
    </r>
    <r>
      <rPr>
        <sz val="11"/>
        <color rgb="FFFF3F4F"/>
        <rFont val="Consolas"/>
        <family val="3"/>
      </rPr>
      <t>ela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0.04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fraction of demand that is elastic # 0.04 at WTP = 4000, 0.2 at WTP = 20000</t>
    </r>
  </si>
  <si>
    <r>
      <t xml:space="preserve">    </t>
    </r>
    <r>
      <rPr>
        <sz val="11"/>
        <color rgb="FFFF3F4F"/>
        <rFont val="Consolas"/>
        <family val="3"/>
      </rPr>
      <t>sigmaCM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</t>
    </r>
    <r>
      <rPr>
        <sz val="11"/>
        <color rgb="FFFFD945"/>
        <rFont val="Consolas"/>
        <family val="3"/>
      </rPr>
      <t xml:space="preserve"> </t>
    </r>
  </si>
  <si>
    <r>
      <t xml:space="preserve">    </t>
    </r>
    <r>
      <rPr>
        <sz val="11"/>
        <color rgb="FFFF3F4F"/>
        <rFont val="Consolas"/>
        <family val="3"/>
      </rPr>
      <t>NodeShare</t>
    </r>
    <r>
      <rPr>
        <sz val="11"/>
        <color rgb="FFF8F8F0"/>
        <rFont val="Consolas"/>
        <family val="3"/>
      </rPr>
      <t>:</t>
    </r>
  </si>
  <si>
    <r>
      <t xml:space="preserve">      </t>
    </r>
    <r>
      <rPr>
        <sz val="11"/>
        <color rgb="FFFF3F4F"/>
        <rFont val="Consolas"/>
        <family val="3"/>
      </rPr>
      <t>n1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0.7</t>
    </r>
  </si>
  <si>
    <r>
      <t xml:space="preserve">      </t>
    </r>
    <r>
      <rPr>
        <sz val="11"/>
        <color rgb="FFFF3F4F"/>
        <rFont val="Consolas"/>
        <family val="3"/>
      </rPr>
      <t>n2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0.3</t>
    </r>
  </si>
  <si>
    <r>
      <t xml:space="preserve">  </t>
    </r>
    <r>
      <rPr>
        <sz val="11"/>
        <color rgb="FFFF3F4F"/>
        <rFont val="Consolas"/>
        <family val="3"/>
      </rPr>
      <t>B</t>
    </r>
    <r>
      <rPr>
        <sz val="11"/>
        <color rgb="FFF8F8F0"/>
        <rFont val="Consolas"/>
        <family val="3"/>
      </rPr>
      <t>:</t>
    </r>
  </si>
  <si>
    <r>
      <t xml:space="preserve">    </t>
    </r>
    <r>
      <rPr>
        <sz val="11"/>
        <color rgb="FFFF3F4F"/>
        <rFont val="Consolas"/>
        <family val="3"/>
      </rPr>
      <t>WTP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4000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#20000.0 # Max clearing price (€/MWh)</t>
    </r>
  </si>
  <si>
    <r>
      <t xml:space="preserve">    </t>
    </r>
    <r>
      <rPr>
        <sz val="11"/>
        <color rgb="FFFF3F4F"/>
        <rFont val="Consolas"/>
        <family val="3"/>
      </rPr>
      <t>D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"B"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Timeseries that needs to be picked up</t>
    </r>
  </si>
  <si>
    <r>
      <t xml:space="preserve">    </t>
    </r>
    <r>
      <rPr>
        <sz val="11"/>
        <color rgb="FFFF3F4F"/>
        <rFont val="Consolas"/>
        <family val="3"/>
      </rPr>
      <t>ela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0.04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fraction of demand that is elastic</t>
    </r>
  </si>
  <si>
    <r>
      <t xml:space="preserve">    </t>
    </r>
    <r>
      <rPr>
        <sz val="11"/>
        <color rgb="FFFF3F4F"/>
        <rFont val="Consolas"/>
        <family val="3"/>
      </rPr>
      <t>sigmaCM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</t>
    </r>
  </si>
  <si>
    <r>
      <t xml:space="preserve">        </t>
    </r>
    <r>
      <rPr>
        <sz val="11"/>
        <color rgb="FFFF3F4F"/>
        <rFont val="Consolas"/>
        <family val="3"/>
      </rPr>
      <t>n3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1.0</t>
    </r>
  </si>
  <si>
    <r>
      <t xml:space="preserve">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>:</t>
    </r>
  </si>
  <si>
    <r>
      <t xml:space="preserve">    </t>
    </r>
    <r>
      <rPr>
        <sz val="11"/>
        <color rgb="FFFF3F4F"/>
        <rFont val="Consolas"/>
        <family val="3"/>
      </rPr>
      <t>D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"C"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Timeseries that needs to be picked up</t>
    </r>
  </si>
  <si>
    <r>
      <t xml:space="preserve">        </t>
    </r>
    <r>
      <rPr>
        <sz val="11"/>
        <color rgb="FFFF3F4F"/>
        <rFont val="Consolas"/>
        <family val="3"/>
      </rPr>
      <t>n4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1.0</t>
    </r>
  </si>
  <si>
    <r>
      <t>Generators</t>
    </r>
    <r>
      <rPr>
        <sz val="11"/>
        <color rgb="FFF8F8F0"/>
        <rFont val="Consolas"/>
        <family val="3"/>
      </rPr>
      <t xml:space="preserve">: </t>
    </r>
  </si>
  <si>
    <r>
      <t xml:space="preserve">  </t>
    </r>
    <r>
      <rPr>
        <i/>
        <sz val="11"/>
        <color rgb="FF5C6370"/>
        <rFont val="Consolas"/>
        <family val="3"/>
      </rPr>
      <t># OPEX are parametrized as a/2 x g^2 + b x g</t>
    </r>
  </si>
  <si>
    <r>
      <t xml:space="preserve">  </t>
    </r>
    <r>
      <rPr>
        <sz val="11"/>
        <color rgb="FFFF3F4F"/>
        <rFont val="Consolas"/>
        <family val="3"/>
      </rPr>
      <t>A</t>
    </r>
    <r>
      <rPr>
        <sz val="11"/>
        <color rgb="FFF8F8F0"/>
        <rFont val="Consolas"/>
        <family val="3"/>
      </rPr>
      <t xml:space="preserve">: </t>
    </r>
  </si>
  <si>
    <r>
      <t xml:space="preserve">    </t>
    </r>
    <r>
      <rPr>
        <sz val="11"/>
        <color rgb="FFFF3F4F"/>
        <rFont val="Consolas"/>
        <family val="3"/>
      </rPr>
      <t>Baseload</t>
    </r>
    <r>
      <rPr>
        <sz val="11"/>
        <color rgb="FFF8F8F0"/>
        <rFont val="Consolas"/>
        <family val="3"/>
      </rPr>
      <t>:</t>
    </r>
  </si>
  <si>
    <r>
      <t xml:space="preserve">      </t>
    </r>
    <r>
      <rPr>
        <sz val="11"/>
        <color rgb="FFFF3F4F"/>
        <rFont val="Consolas"/>
        <family val="3"/>
      </rPr>
      <t>a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0.008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(€/MWh)^2</t>
    </r>
  </si>
  <si>
    <r>
      <t xml:space="preserve">      </t>
    </r>
    <r>
      <rPr>
        <sz val="11"/>
        <color rgb="FFFF3F4F"/>
        <rFont val="Consolas"/>
        <family val="3"/>
      </rPr>
      <t>b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20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€/MWh</t>
    </r>
  </si>
  <si>
    <r>
      <t xml:space="preserve">  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 - existing capacity (set to zero if greenfield)</t>
    </r>
  </si>
  <si>
    <r>
      <t xml:space="preserve">      </t>
    </r>
    <r>
      <rPr>
        <sz val="11"/>
        <color rgb="FFFF3F4F"/>
        <rFont val="Consolas"/>
        <family val="3"/>
      </rPr>
      <t>I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190000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€/MW-year - annualized investment cost</t>
    </r>
  </si>
  <si>
    <r>
      <t xml:space="preserve">      </t>
    </r>
    <r>
      <rPr>
        <sz val="11"/>
        <color rgb="FFFF3F4F"/>
        <rFont val="Consolas"/>
        <family val="3"/>
      </rPr>
      <t>max_cap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100000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 - maximum capacity</t>
    </r>
  </si>
  <si>
    <r>
      <t xml:space="preserve">      </t>
    </r>
    <r>
      <rPr>
        <sz val="11"/>
        <color rgb="FFFF3F4F"/>
        <rFont val="Consolas"/>
        <family val="3"/>
      </rPr>
      <t>sigmaCM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</t>
    </r>
  </si>
  <si>
    <r>
      <t xml:space="preserve">      </t>
    </r>
    <r>
      <rPr>
        <sz val="11"/>
        <color rgb="FFFF3F4F"/>
        <rFont val="Consolas"/>
        <family val="3"/>
      </rPr>
      <t>DF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1.0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derating factor</t>
    </r>
  </si>
  <si>
    <r>
      <t xml:space="preserve">      </t>
    </r>
    <r>
      <rPr>
        <sz val="11"/>
        <color rgb="FFFF3F4F"/>
        <rFont val="Consolas"/>
        <family val="3"/>
      </rPr>
      <t>NodeShare</t>
    </r>
    <r>
      <rPr>
        <sz val="11"/>
        <color rgb="FFF8F8F0"/>
        <rFont val="Consolas"/>
        <family val="3"/>
      </rPr>
      <t>:</t>
    </r>
  </si>
  <si>
    <r>
      <t xml:space="preserve">          </t>
    </r>
    <r>
      <rPr>
        <sz val="11"/>
        <color rgb="FFFF3F4F"/>
        <rFont val="Consolas"/>
        <family val="3"/>
      </rPr>
      <t>n1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0.7</t>
    </r>
  </si>
  <si>
    <r>
      <t xml:space="preserve">          </t>
    </r>
    <r>
      <rPr>
        <sz val="11"/>
        <color rgb="FFFF3F4F"/>
        <rFont val="Consolas"/>
        <family val="3"/>
      </rPr>
      <t>n2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0.3</t>
    </r>
  </si>
  <si>
    <r>
      <t xml:space="preserve">    </t>
    </r>
    <r>
      <rPr>
        <sz val="11"/>
        <color rgb="FFFF3F4F"/>
        <rFont val="Consolas"/>
        <family val="3"/>
      </rPr>
      <t>MidMerit</t>
    </r>
    <r>
      <rPr>
        <sz val="11"/>
        <color rgb="FFF8F8F0"/>
        <rFont val="Consolas"/>
        <family val="3"/>
      </rPr>
      <t>:</t>
    </r>
  </si>
  <si>
    <r>
      <t xml:space="preserve">      </t>
    </r>
    <r>
      <rPr>
        <sz val="11"/>
        <color rgb="FFFF3F4F"/>
        <rFont val="Consolas"/>
        <family val="3"/>
      </rPr>
      <t>a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0.032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(€/MWh)^2</t>
    </r>
  </si>
  <si>
    <r>
      <t xml:space="preserve">      </t>
    </r>
    <r>
      <rPr>
        <sz val="11"/>
        <color rgb="FFFF3F4F"/>
        <rFont val="Consolas"/>
        <family val="3"/>
      </rPr>
      <t>b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55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€/MWh</t>
    </r>
  </si>
  <si>
    <r>
      <t xml:space="preserve">      </t>
    </r>
    <r>
      <rPr>
        <sz val="11"/>
        <color rgb="FFFF3F4F"/>
        <rFont val="Consolas"/>
        <family val="3"/>
      </rPr>
      <t>I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110000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€/MW-year - annualized investment cost</t>
    </r>
  </si>
  <si>
    <r>
      <t xml:space="preserve">    </t>
    </r>
    <r>
      <rPr>
        <sz val="11"/>
        <color rgb="FFFF3F4F"/>
        <rFont val="Consolas"/>
        <family val="3"/>
      </rPr>
      <t>Peak</t>
    </r>
    <r>
      <rPr>
        <sz val="11"/>
        <color rgb="FFF8F8F0"/>
        <rFont val="Consolas"/>
        <family val="3"/>
      </rPr>
      <t>:</t>
    </r>
  </si>
  <si>
    <r>
      <t xml:space="preserve">      </t>
    </r>
    <r>
      <rPr>
        <sz val="11"/>
        <color rgb="FFFF3F4F"/>
        <rFont val="Consolas"/>
        <family val="3"/>
      </rPr>
      <t>a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0.08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(€/MWh)^2</t>
    </r>
  </si>
  <si>
    <r>
      <t xml:space="preserve">      </t>
    </r>
    <r>
      <rPr>
        <sz val="11"/>
        <color rgb="FFFF3F4F"/>
        <rFont val="Consolas"/>
        <family val="3"/>
      </rPr>
      <t>b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90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€/MWh</t>
    </r>
  </si>
  <si>
    <r>
      <t xml:space="preserve">      </t>
    </r>
    <r>
      <rPr>
        <sz val="11"/>
        <color rgb="FFFF3F4F"/>
        <rFont val="Consolas"/>
        <family val="3"/>
      </rPr>
      <t>I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70000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€/MW-year - annualized investment cost</t>
    </r>
  </si>
  <si>
    <r>
      <t xml:space="preserve">    </t>
    </r>
    <r>
      <rPr>
        <sz val="11"/>
        <color rgb="FFFF3F4F"/>
        <rFont val="Consolas"/>
        <family val="3"/>
      </rPr>
      <t>WindOnshore</t>
    </r>
    <r>
      <rPr>
        <sz val="11"/>
        <color rgb="FFF8F8F0"/>
        <rFont val="Consolas"/>
        <family val="3"/>
      </rPr>
      <t>:</t>
    </r>
  </si>
  <si>
    <r>
      <t xml:space="preserve">      </t>
    </r>
    <r>
      <rPr>
        <sz val="11"/>
        <color rgb="FFFF3F4F"/>
        <rFont val="Consolas"/>
        <family val="3"/>
      </rPr>
      <t>a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(€/MWh)^2</t>
    </r>
  </si>
  <si>
    <r>
      <t xml:space="preserve">      </t>
    </r>
    <r>
      <rPr>
        <sz val="11"/>
        <color rgb="FFFF3F4F"/>
        <rFont val="Consolas"/>
        <family val="3"/>
      </rPr>
      <t>b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€/MWh</t>
    </r>
  </si>
  <si>
    <r>
      <t xml:space="preserve">  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13700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</t>
    </r>
  </si>
  <si>
    <r>
      <t xml:space="preserve">      </t>
    </r>
    <r>
      <rPr>
        <sz val="11"/>
        <color rgb="FFFF3F4F"/>
        <rFont val="Consolas"/>
        <family val="3"/>
      </rPr>
      <t>I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300000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€/MW-year - annualized investment cost</t>
    </r>
  </si>
  <si>
    <r>
      <t xml:space="preserve">      </t>
    </r>
    <r>
      <rPr>
        <sz val="11"/>
        <color rgb="FFFF3F4F"/>
        <rFont val="Consolas"/>
        <family val="3"/>
      </rPr>
      <t>max_cap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13700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 - maximum capacity</t>
    </r>
  </si>
  <si>
    <r>
      <t xml:space="preserve">      </t>
    </r>
    <r>
      <rPr>
        <sz val="11"/>
        <color rgb="FFFF3F4F"/>
        <rFont val="Consolas"/>
        <family val="3"/>
      </rPr>
      <t>AF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"A"</t>
    </r>
  </si>
  <si>
    <r>
      <t xml:space="preserve">      </t>
    </r>
    <r>
      <rPr>
        <sz val="11"/>
        <color rgb="FFFF3F4F"/>
        <rFont val="Consolas"/>
        <family val="3"/>
      </rPr>
      <t>sigmaCM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</t>
    </r>
  </si>
  <si>
    <r>
      <t xml:space="preserve">      </t>
    </r>
    <r>
      <rPr>
        <sz val="11"/>
        <color rgb="FFFF3F4F"/>
        <rFont val="Consolas"/>
        <family val="3"/>
      </rPr>
      <t>DF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derating factor</t>
    </r>
  </si>
  <si>
    <r>
      <t xml:space="preserve">    </t>
    </r>
    <r>
      <rPr>
        <sz val="11"/>
        <color rgb="FFFF3F4F"/>
        <rFont val="Consolas"/>
        <family val="3"/>
      </rPr>
      <t>PV</t>
    </r>
    <r>
      <rPr>
        <sz val="11"/>
        <color rgb="FFF8F8F0"/>
        <rFont val="Consolas"/>
        <family val="3"/>
      </rPr>
      <t>:</t>
    </r>
  </si>
  <si>
    <r>
      <t xml:space="preserve">  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15403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</t>
    </r>
  </si>
  <si>
    <r>
      <t xml:space="preserve">      </t>
    </r>
    <r>
      <rPr>
        <sz val="11"/>
        <color rgb="FFFF3F4F"/>
        <rFont val="Consolas"/>
        <family val="3"/>
      </rPr>
      <t>I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300000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k€/MW-year - annualized investment cost</t>
    </r>
  </si>
  <si>
    <r>
      <t xml:space="preserve">      </t>
    </r>
    <r>
      <rPr>
        <sz val="11"/>
        <color rgb="FFFF3F4F"/>
        <rFont val="Consolas"/>
        <family val="3"/>
      </rPr>
      <t>max_cap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15403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 - maximum capacity</t>
    </r>
  </si>
  <si>
    <r>
      <t xml:space="preserve">      </t>
    </r>
    <r>
      <rPr>
        <sz val="11"/>
        <color rgb="FFFF3F4F"/>
        <rFont val="Consolas"/>
        <family val="3"/>
      </rPr>
      <t>I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190000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€/MW-year - annualized investment cost (convert to €/MW-year?)</t>
    </r>
  </si>
  <si>
    <r>
      <t xml:space="preserve">          </t>
    </r>
    <r>
      <rPr>
        <sz val="11"/>
        <color rgb="FFFF3F4F"/>
        <rFont val="Consolas"/>
        <family val="3"/>
      </rPr>
      <t>n3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1.0</t>
    </r>
  </si>
  <si>
    <r>
      <t xml:space="preserve">  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5315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</t>
    </r>
  </si>
  <si>
    <r>
      <t xml:space="preserve">      </t>
    </r>
    <r>
      <rPr>
        <sz val="11"/>
        <color rgb="FFFF3F4F"/>
        <rFont val="Consolas"/>
        <family val="3"/>
      </rPr>
      <t>max_cap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5315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 - maximum capacity</t>
    </r>
  </si>
  <si>
    <r>
      <t xml:space="preserve">      </t>
    </r>
    <r>
      <rPr>
        <sz val="11"/>
        <color rgb="FFFF3F4F"/>
        <rFont val="Consolas"/>
        <family val="3"/>
      </rPr>
      <t>AF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"B"</t>
    </r>
  </si>
  <si>
    <r>
      <t xml:space="preserve">  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8788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</t>
    </r>
  </si>
  <si>
    <r>
      <t xml:space="preserve">      </t>
    </r>
    <r>
      <rPr>
        <sz val="11"/>
        <color rgb="FFFF3F4F"/>
        <rFont val="Consolas"/>
        <family val="3"/>
      </rPr>
      <t>max_cap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8788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 - maximum capacity</t>
    </r>
  </si>
  <si>
    <r>
      <t xml:space="preserve">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 xml:space="preserve">: </t>
    </r>
  </si>
  <si>
    <r>
      <t xml:space="preserve">          </t>
    </r>
    <r>
      <rPr>
        <sz val="11"/>
        <color rgb="FFFF3F4F"/>
        <rFont val="Consolas"/>
        <family val="3"/>
      </rPr>
      <t>n4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1.0</t>
    </r>
  </si>
  <si>
    <r>
      <t xml:space="preserve">  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8300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</t>
    </r>
  </si>
  <si>
    <r>
      <t xml:space="preserve">      </t>
    </r>
    <r>
      <rPr>
        <sz val="11"/>
        <color rgb="FFFF3F4F"/>
        <rFont val="Consolas"/>
        <family val="3"/>
      </rPr>
      <t>I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300000.2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€/MW-year - annualized investment cost</t>
    </r>
  </si>
  <si>
    <r>
      <t xml:space="preserve">      </t>
    </r>
    <r>
      <rPr>
        <sz val="11"/>
        <color rgb="FFFF3F4F"/>
        <rFont val="Consolas"/>
        <family val="3"/>
      </rPr>
      <t>max_cap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8300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 - maximum capacity</t>
    </r>
  </si>
  <si>
    <r>
      <t xml:space="preserve">      </t>
    </r>
    <r>
      <rPr>
        <sz val="11"/>
        <color rgb="FFFF3F4F"/>
        <rFont val="Consolas"/>
        <family val="3"/>
      </rPr>
      <t>AF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"C"</t>
    </r>
  </si>
  <si>
    <r>
      <t xml:space="preserve">  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18662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</t>
    </r>
  </si>
  <si>
    <r>
      <t xml:space="preserve">      </t>
    </r>
    <r>
      <rPr>
        <sz val="11"/>
        <color rgb="FFFF3F4F"/>
        <rFont val="Consolas"/>
        <family val="3"/>
      </rPr>
      <t>max_cap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18662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MW - maximum capacity</t>
    </r>
  </si>
  <si>
    <r>
      <t>CM</t>
    </r>
    <r>
      <rPr>
        <sz val="11"/>
        <color rgb="FFF8F8F0"/>
        <rFont val="Consolas"/>
        <family val="3"/>
      </rPr>
      <t>:</t>
    </r>
  </si>
  <si>
    <r>
      <t xml:space="preserve">    </t>
    </r>
    <r>
      <rPr>
        <i/>
        <sz val="11"/>
        <color rgb="FF5C6370"/>
        <rFont val="Consolas"/>
        <family val="3"/>
      </rPr>
      <t># explicit/implicit/capacity target for zone A</t>
    </r>
  </si>
  <si>
    <r>
      <t xml:space="preserve">    </t>
    </r>
    <r>
      <rPr>
        <sz val="11"/>
        <color rgb="FFFF3F4F"/>
        <rFont val="Consolas"/>
        <family val="3"/>
      </rPr>
      <t>capacity_target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17629.87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"FB-D"  - 16387.31 / "ATC" / "noCBP" - 17629.87 / "implicit" - 65032.15</t>
    </r>
  </si>
  <si>
    <r>
      <t xml:space="preserve">    </t>
    </r>
    <r>
      <rPr>
        <sz val="11"/>
        <color rgb="FFFF3F4F"/>
        <rFont val="Consolas"/>
        <family val="3"/>
      </rPr>
      <t>price_target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72000</t>
    </r>
    <r>
      <rPr>
        <sz val="11"/>
        <color rgb="FFF8F8F0"/>
        <rFont val="Consolas"/>
        <family val="3"/>
      </rPr>
      <t xml:space="preserve">    </t>
    </r>
    <r>
      <rPr>
        <i/>
        <sz val="11"/>
        <color rgb="FF5C6370"/>
        <rFont val="Consolas"/>
        <family val="3"/>
      </rPr>
      <t># €/MW (price target for zone A - CONE)</t>
    </r>
  </si>
  <si>
    <r>
      <t xml:space="preserve">    </t>
    </r>
    <r>
      <rPr>
        <sz val="11"/>
        <color rgb="FFFF3F4F"/>
        <rFont val="Consolas"/>
        <family val="3"/>
      </rPr>
      <t>capacity_margin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0.1</t>
    </r>
    <r>
      <rPr>
        <sz val="11"/>
        <color rgb="FFF8F8F0"/>
        <rFont val="Consolas"/>
        <family val="3"/>
      </rPr>
      <t xml:space="preserve">     </t>
    </r>
    <r>
      <rPr>
        <i/>
        <sz val="11"/>
        <color rgb="FF5C6370"/>
        <rFont val="Consolas"/>
        <family val="3"/>
      </rPr>
      <t># 10% capacity margin</t>
    </r>
  </si>
  <si>
    <r>
      <t xml:space="preserve">    </t>
    </r>
    <r>
      <rPr>
        <sz val="11"/>
        <color rgb="FFFF3F4F"/>
        <rFont val="Consolas"/>
        <family val="3"/>
      </rPr>
      <t>min_price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-10000000</t>
    </r>
  </si>
  <si>
    <r>
      <t xml:space="preserve">    </t>
    </r>
    <r>
      <rPr>
        <sz val="11"/>
        <color rgb="FFFF3F4F"/>
        <rFont val="Consolas"/>
        <family val="3"/>
      </rPr>
      <t>max_price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10000000</t>
    </r>
  </si>
  <si>
    <r>
      <t xml:space="preserve">    </t>
    </r>
    <r>
      <rPr>
        <sz val="11"/>
        <color rgb="FFFF3F4F"/>
        <rFont val="Consolas"/>
        <family val="3"/>
      </rPr>
      <t>D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"A"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</t>
    </r>
  </si>
  <si>
    <r>
      <t xml:space="preserve">    </t>
    </r>
    <r>
      <rPr>
        <sz val="11"/>
        <color rgb="FFFF3F4F"/>
        <rFont val="Consolas"/>
        <family val="3"/>
      </rPr>
      <t>capacity_target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15468.46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"FB-D" - 13593.37 / "ATC" / "noCBP" - 15468.46 / "implicit" - 13873.15</t>
    </r>
  </si>
  <si>
    <r>
      <t xml:space="preserve">    </t>
    </r>
    <r>
      <rPr>
        <sz val="11"/>
        <color rgb="FFFF3F4F"/>
        <rFont val="Consolas"/>
        <family val="3"/>
      </rPr>
      <t>price_target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71000</t>
    </r>
  </si>
  <si>
    <r>
      <t xml:space="preserve">    </t>
    </r>
    <r>
      <rPr>
        <sz val="11"/>
        <color rgb="FFFF3F4F"/>
        <rFont val="Consolas"/>
        <family val="3"/>
      </rPr>
      <t>capacity_margin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0.1</t>
    </r>
  </si>
  <si>
    <r>
      <t xml:space="preserve">    </t>
    </r>
    <r>
      <rPr>
        <sz val="11"/>
        <color rgb="FFFF3F4F"/>
        <rFont val="Consolas"/>
        <family val="3"/>
      </rPr>
      <t>D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"B"</t>
    </r>
  </si>
  <si>
    <r>
      <t xml:space="preserve">    </t>
    </r>
    <r>
      <rPr>
        <sz val="11"/>
        <color rgb="FFFF3F4F"/>
        <rFont val="Consolas"/>
        <family val="3"/>
      </rPr>
      <t>capacity_target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17169.92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"FB-D" - 17774.16 / "ATC" / "noCBP" - 17169.92 / "implicit" - 14673.80</t>
    </r>
  </si>
  <si>
    <r>
      <t xml:space="preserve">    </t>
    </r>
    <r>
      <rPr>
        <sz val="11"/>
        <color rgb="FFFF3F4F"/>
        <rFont val="Consolas"/>
        <family val="3"/>
      </rPr>
      <t>price_target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70000</t>
    </r>
  </si>
  <si>
    <r>
      <t xml:space="preserve">    </t>
    </r>
    <r>
      <rPr>
        <sz val="11"/>
        <color rgb="FFFF3F4F"/>
        <rFont val="Consolas"/>
        <family val="3"/>
      </rPr>
      <t>D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"C"</t>
    </r>
  </si>
  <si>
    <r>
      <t>Network</t>
    </r>
    <r>
      <rPr>
        <sz val="11"/>
        <color rgb="FFF8F8F0"/>
        <rFont val="Consolas"/>
        <family val="3"/>
      </rPr>
      <t>:</t>
    </r>
  </si>
  <si>
    <r>
      <t xml:space="preserve">  </t>
    </r>
    <r>
      <rPr>
        <sz val="11"/>
        <color rgb="FFFF3F4F"/>
        <rFont val="Consolas"/>
        <family val="3"/>
      </rPr>
      <t>ZoneMap</t>
    </r>
    <r>
      <rPr>
        <sz val="11"/>
        <color rgb="FFF8F8F0"/>
        <rFont val="Consolas"/>
        <family val="3"/>
      </rPr>
      <t>:</t>
    </r>
  </si>
  <si>
    <r>
      <t xml:space="preserve">    </t>
    </r>
    <r>
      <rPr>
        <sz val="11"/>
        <color rgb="FFFF3F4F"/>
        <rFont val="Consolas"/>
        <family val="3"/>
      </rPr>
      <t>A</t>
    </r>
    <r>
      <rPr>
        <sz val="11"/>
        <color rgb="FFF8F8F0"/>
        <rFont val="Consolas"/>
        <family val="3"/>
      </rPr>
      <t>: [</t>
    </r>
    <r>
      <rPr>
        <sz val="11"/>
        <color rgb="FFFFD945"/>
        <rFont val="Consolas"/>
        <family val="3"/>
      </rPr>
      <t>n1</t>
    </r>
    <r>
      <rPr>
        <sz val="11"/>
        <color rgb="FFF8F8F0"/>
        <rFont val="Consolas"/>
        <family val="3"/>
      </rPr>
      <t xml:space="preserve">, </t>
    </r>
    <r>
      <rPr>
        <sz val="11"/>
        <color rgb="FFFFD945"/>
        <rFont val="Consolas"/>
        <family val="3"/>
      </rPr>
      <t>n2</t>
    </r>
    <r>
      <rPr>
        <sz val="11"/>
        <color rgb="FFF8F8F0"/>
        <rFont val="Consolas"/>
        <family val="3"/>
      </rPr>
      <t>]</t>
    </r>
  </si>
  <si>
    <r>
      <t xml:space="preserve">    </t>
    </r>
    <r>
      <rPr>
        <sz val="11"/>
        <color rgb="FFFF3F4F"/>
        <rFont val="Consolas"/>
        <family val="3"/>
      </rPr>
      <t>B</t>
    </r>
    <r>
      <rPr>
        <sz val="11"/>
        <color rgb="FFF8F8F0"/>
        <rFont val="Consolas"/>
        <family val="3"/>
      </rPr>
      <t>: [</t>
    </r>
    <r>
      <rPr>
        <sz val="11"/>
        <color rgb="FFFFD945"/>
        <rFont val="Consolas"/>
        <family val="3"/>
      </rPr>
      <t>n3</t>
    </r>
    <r>
      <rPr>
        <sz val="11"/>
        <color rgb="FFF8F8F0"/>
        <rFont val="Consolas"/>
        <family val="3"/>
      </rPr>
      <t>]</t>
    </r>
  </si>
  <si>
    <r>
      <t xml:space="preserve">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>: [</t>
    </r>
    <r>
      <rPr>
        <sz val="11"/>
        <color rgb="FFFFD945"/>
        <rFont val="Consolas"/>
        <family val="3"/>
      </rPr>
      <t>n4</t>
    </r>
    <r>
      <rPr>
        <sz val="11"/>
        <color rgb="FFF8F8F0"/>
        <rFont val="Consolas"/>
        <family val="3"/>
      </rPr>
      <t>]</t>
    </r>
  </si>
  <si>
    <t xml:space="preserve">    </t>
  </si>
  <si>
    <r>
      <t xml:space="preserve">  </t>
    </r>
    <r>
      <rPr>
        <sz val="11"/>
        <color rgb="FFFF3F4F"/>
        <rFont val="Consolas"/>
        <family val="3"/>
      </rPr>
      <t>TCONNECT</t>
    </r>
    <r>
      <rPr>
        <sz val="11"/>
        <color rgb="FFF8F8F0"/>
        <rFont val="Consolas"/>
        <family val="3"/>
      </rPr>
      <t>:</t>
    </r>
  </si>
  <si>
    <r>
      <t>    - [</t>
    </r>
    <r>
      <rPr>
        <sz val="11"/>
        <color rgb="FFFFD945"/>
        <rFont val="Consolas"/>
        <family val="3"/>
      </rPr>
      <t>A</t>
    </r>
    <r>
      <rPr>
        <sz val="11"/>
        <color rgb="FFF8F8F0"/>
        <rFont val="Consolas"/>
        <family val="3"/>
      </rPr>
      <t xml:space="preserve">, </t>
    </r>
    <r>
      <rPr>
        <sz val="11"/>
        <color rgb="FFFFD945"/>
        <rFont val="Consolas"/>
        <family val="3"/>
      </rPr>
      <t>C</t>
    </r>
    <r>
      <rPr>
        <sz val="11"/>
        <color rgb="FFF8F8F0"/>
        <rFont val="Consolas"/>
        <family val="3"/>
      </rPr>
      <t>]</t>
    </r>
  </si>
  <si>
    <r>
      <t>    - [</t>
    </r>
    <r>
      <rPr>
        <sz val="11"/>
        <color rgb="FFFFD945"/>
        <rFont val="Consolas"/>
        <family val="3"/>
      </rPr>
      <t>C</t>
    </r>
    <r>
      <rPr>
        <sz val="11"/>
        <color rgb="FFF8F8F0"/>
        <rFont val="Consolas"/>
        <family val="3"/>
      </rPr>
      <t xml:space="preserve">, </t>
    </r>
    <r>
      <rPr>
        <sz val="11"/>
        <color rgb="FFFFD945"/>
        <rFont val="Consolas"/>
        <family val="3"/>
      </rPr>
      <t>B</t>
    </r>
    <r>
      <rPr>
        <sz val="11"/>
        <color rgb="FFF8F8F0"/>
        <rFont val="Consolas"/>
        <family val="3"/>
      </rPr>
      <t>]</t>
    </r>
  </si>
  <si>
    <r>
      <t>    - [</t>
    </r>
    <r>
      <rPr>
        <sz val="11"/>
        <color rgb="FFFFD945"/>
        <rFont val="Consolas"/>
        <family val="3"/>
      </rPr>
      <t>B</t>
    </r>
    <r>
      <rPr>
        <sz val="11"/>
        <color rgb="FFF8F8F0"/>
        <rFont val="Consolas"/>
        <family val="3"/>
      </rPr>
      <t xml:space="preserve">, </t>
    </r>
    <r>
      <rPr>
        <sz val="11"/>
        <color rgb="FFFFD945"/>
        <rFont val="Consolas"/>
        <family val="3"/>
      </rPr>
      <t>A</t>
    </r>
    <r>
      <rPr>
        <sz val="11"/>
        <color rgb="FFF8F8F0"/>
        <rFont val="Consolas"/>
        <family val="3"/>
      </rPr>
      <t>]</t>
    </r>
  </si>
  <si>
    <r>
      <t xml:space="preserve">  </t>
    </r>
    <r>
      <rPr>
        <sz val="11"/>
        <color rgb="FFFF3F4F"/>
        <rFont val="Consolas"/>
        <family val="3"/>
      </rPr>
      <t>ATC</t>
    </r>
    <r>
      <rPr>
        <sz val="11"/>
        <color rgb="FFF8F8F0"/>
        <rFont val="Consolas"/>
        <family val="3"/>
      </rPr>
      <t>:</t>
    </r>
  </si>
  <si>
    <r>
      <t xml:space="preserve">    </t>
    </r>
    <r>
      <rPr>
        <sz val="11"/>
        <color rgb="FFFF3F4F"/>
        <rFont val="Consolas"/>
        <family val="3"/>
      </rPr>
      <t>A</t>
    </r>
    <r>
      <rPr>
        <sz val="11"/>
        <color rgb="FFF8F8F0"/>
        <rFont val="Consolas"/>
        <family val="3"/>
      </rPr>
      <t>:</t>
    </r>
  </si>
  <si>
    <r>
      <t xml:space="preserve">  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>: [</t>
    </r>
    <r>
      <rPr>
        <sz val="11"/>
        <color rgb="FFE373CE"/>
        <rFont val="Consolas"/>
        <family val="3"/>
      </rPr>
      <t>1110.6</t>
    </r>
    <r>
      <rPr>
        <sz val="11"/>
        <color rgb="FFF8F8F0"/>
        <rFont val="Consolas"/>
        <family val="3"/>
      </rPr>
      <t xml:space="preserve">, </t>
    </r>
    <r>
      <rPr>
        <sz val="11"/>
        <color rgb="FFE373CE"/>
        <rFont val="Consolas"/>
        <family val="3"/>
      </rPr>
      <t>-1110.6</t>
    </r>
    <r>
      <rPr>
        <sz val="11"/>
        <color rgb="FFF8F8F0"/>
        <rFont val="Consolas"/>
        <family val="3"/>
      </rPr>
      <t>]  </t>
    </r>
    <r>
      <rPr>
        <i/>
        <sz val="11"/>
        <color rgb="FF5C6370"/>
        <rFont val="Consolas"/>
        <family val="3"/>
      </rPr>
      <t># [forward limit, backward limit]</t>
    </r>
  </si>
  <si>
    <r>
      <t xml:space="preserve">    </t>
    </r>
    <r>
      <rPr>
        <sz val="11"/>
        <color rgb="FFFF3F4F"/>
        <rFont val="Consolas"/>
        <family val="3"/>
      </rPr>
      <t>C</t>
    </r>
    <r>
      <rPr>
        <sz val="11"/>
        <color rgb="FFF8F8F0"/>
        <rFont val="Consolas"/>
        <family val="3"/>
      </rPr>
      <t>:</t>
    </r>
  </si>
  <si>
    <r>
      <t xml:space="preserve">      </t>
    </r>
    <r>
      <rPr>
        <sz val="11"/>
        <color rgb="FFFF3F4F"/>
        <rFont val="Consolas"/>
        <family val="3"/>
      </rPr>
      <t>B</t>
    </r>
    <r>
      <rPr>
        <sz val="11"/>
        <color rgb="FFF8F8F0"/>
        <rFont val="Consolas"/>
        <family val="3"/>
      </rPr>
      <t>: [</t>
    </r>
    <r>
      <rPr>
        <sz val="11"/>
        <color rgb="FFE373CE"/>
        <rFont val="Consolas"/>
        <family val="3"/>
      </rPr>
      <t>257.3</t>
    </r>
    <r>
      <rPr>
        <sz val="11"/>
        <color rgb="FFF8F8F0"/>
        <rFont val="Consolas"/>
        <family val="3"/>
      </rPr>
      <t xml:space="preserve">, </t>
    </r>
    <r>
      <rPr>
        <sz val="11"/>
        <color rgb="FFE373CE"/>
        <rFont val="Consolas"/>
        <family val="3"/>
      </rPr>
      <t>-257.3</t>
    </r>
    <r>
      <rPr>
        <sz val="11"/>
        <color rgb="FFF8F8F0"/>
        <rFont val="Consolas"/>
        <family val="3"/>
      </rPr>
      <t>]</t>
    </r>
  </si>
  <si>
    <r>
      <t xml:space="preserve">    </t>
    </r>
    <r>
      <rPr>
        <sz val="11"/>
        <color rgb="FFFF3F4F"/>
        <rFont val="Consolas"/>
        <family val="3"/>
      </rPr>
      <t>B</t>
    </r>
    <r>
      <rPr>
        <sz val="11"/>
        <color rgb="FFF8F8F0"/>
        <rFont val="Consolas"/>
        <family val="3"/>
      </rPr>
      <t xml:space="preserve">: </t>
    </r>
  </si>
  <si>
    <r>
      <t xml:space="preserve">      </t>
    </r>
    <r>
      <rPr>
        <sz val="11"/>
        <color rgb="FFFF3F4F"/>
        <rFont val="Consolas"/>
        <family val="3"/>
      </rPr>
      <t>A</t>
    </r>
    <r>
      <rPr>
        <sz val="11"/>
        <color rgb="FFF8F8F0"/>
        <rFont val="Consolas"/>
        <family val="3"/>
      </rPr>
      <t>: [</t>
    </r>
    <r>
      <rPr>
        <sz val="11"/>
        <color rgb="FFE373CE"/>
        <rFont val="Consolas"/>
        <family val="3"/>
      </rPr>
      <t>650.0</t>
    </r>
    <r>
      <rPr>
        <sz val="11"/>
        <color rgb="FFF8F8F0"/>
        <rFont val="Consolas"/>
        <family val="3"/>
      </rPr>
      <t xml:space="preserve">, </t>
    </r>
    <r>
      <rPr>
        <sz val="11"/>
        <color rgb="FFE373CE"/>
        <rFont val="Consolas"/>
        <family val="3"/>
      </rPr>
      <t>-1105.9</t>
    </r>
    <r>
      <rPr>
        <sz val="11"/>
        <color rgb="FFF8F8F0"/>
        <rFont val="Consolas"/>
        <family val="3"/>
      </rPr>
      <t>]</t>
    </r>
  </si>
  <si>
    <t># ATC: [(3000.0000000000036, -3000.0), (655.7499999999674, -655.75), (1282.9500000000007, -344.2500000000018)]</t>
  </si>
  <si>
    <r>
      <t xml:space="preserve">  </t>
    </r>
    <r>
      <rPr>
        <sz val="11"/>
        <color rgb="FFFF3F4F"/>
        <rFont val="Consolas"/>
        <family val="3"/>
      </rPr>
      <t>reserve_cost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10000000</t>
    </r>
    <r>
      <rPr>
        <sz val="11"/>
        <color rgb="FFF8F8F0"/>
        <rFont val="Consolas"/>
        <family val="3"/>
      </rPr>
      <t xml:space="preserve"> </t>
    </r>
    <r>
      <rPr>
        <i/>
        <sz val="11"/>
        <color rgb="FF5C6370"/>
        <rFont val="Consolas"/>
        <family val="3"/>
      </rPr>
      <t># €/MW-year</t>
    </r>
  </si>
  <si>
    <r>
      <t xml:space="preserve">  </t>
    </r>
    <r>
      <rPr>
        <sz val="11"/>
        <color rgb="FFFF3F4F"/>
        <rFont val="Consolas"/>
        <family val="3"/>
      </rPr>
      <t>nLines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4</t>
    </r>
  </si>
  <si>
    <r>
      <t xml:space="preserve">  </t>
    </r>
    <r>
      <rPr>
        <sz val="11"/>
        <color rgb="FFFF3F4F"/>
        <rFont val="Consolas"/>
        <family val="3"/>
      </rPr>
      <t>nScenarios</t>
    </r>
    <r>
      <rPr>
        <sz val="11"/>
        <color rgb="FFF8F8F0"/>
        <rFont val="Consolas"/>
        <family val="3"/>
      </rPr>
      <t xml:space="preserve">: </t>
    </r>
    <r>
      <rPr>
        <sz val="11"/>
        <color rgb="FFE373CE"/>
        <rFont val="Consolas"/>
        <family val="3"/>
      </rPr>
      <t>4</t>
    </r>
  </si>
  <si>
    <r>
      <t xml:space="preserve">  </t>
    </r>
    <r>
      <rPr>
        <sz val="11"/>
        <color rgb="FFFF3F4F"/>
        <rFont val="Consolas"/>
        <family val="3"/>
      </rPr>
      <t>lines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"lines"</t>
    </r>
    <r>
      <rPr>
        <sz val="11"/>
        <color rgb="FFF8F8F0"/>
        <rFont val="Consolas"/>
        <family val="3"/>
      </rPr>
      <t xml:space="preserve">  </t>
    </r>
    <r>
      <rPr>
        <i/>
        <sz val="11"/>
        <color rgb="FF5C6370"/>
        <rFont val="Consolas"/>
        <family val="3"/>
      </rPr>
      <t># lines dataframe</t>
    </r>
  </si>
  <si>
    <r>
      <t xml:space="preserve">  </t>
    </r>
    <r>
      <rPr>
        <sz val="11"/>
        <color rgb="FFFF3F4F"/>
        <rFont val="Consolas"/>
        <family val="3"/>
      </rPr>
      <t>ptdf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"ATC"</t>
    </r>
    <r>
      <rPr>
        <sz val="11"/>
        <color rgb="FFF8F8F0"/>
        <rFont val="Consolas"/>
        <family val="3"/>
      </rPr>
      <t xml:space="preserve">  </t>
    </r>
    <r>
      <rPr>
        <i/>
        <sz val="11"/>
        <color rgb="FF5C6370"/>
        <rFont val="Consolas"/>
        <family val="3"/>
      </rPr>
      <t># PTDF dataframe</t>
    </r>
  </si>
  <si>
    <r>
      <t xml:space="preserve">  </t>
    </r>
    <r>
      <rPr>
        <sz val="11"/>
        <color rgb="FFFF3F4F"/>
        <rFont val="Consolas"/>
        <family val="3"/>
      </rPr>
      <t>nodal_ptdf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"nodal_ptdf"</t>
    </r>
    <r>
      <rPr>
        <sz val="11"/>
        <color rgb="FFF8F8F0"/>
        <rFont val="Consolas"/>
        <family val="3"/>
      </rPr>
      <t xml:space="preserve">  </t>
    </r>
    <r>
      <rPr>
        <i/>
        <sz val="11"/>
        <color rgb="FF5C6370"/>
        <rFont val="Consolas"/>
        <family val="3"/>
      </rPr>
      <t># nodal PTDF dataframe</t>
    </r>
  </si>
  <si>
    <r>
      <t xml:space="preserve">  </t>
    </r>
    <r>
      <rPr>
        <sz val="11"/>
        <color rgb="FFFF3F4F"/>
        <rFont val="Consolas"/>
        <family val="3"/>
      </rPr>
      <t>coupling</t>
    </r>
    <r>
      <rPr>
        <sz val="11"/>
        <color rgb="FFF8F8F0"/>
        <rFont val="Consolas"/>
        <family val="3"/>
      </rPr>
      <t xml:space="preserve">: </t>
    </r>
    <r>
      <rPr>
        <sz val="11"/>
        <color rgb="FFFFD945"/>
        <rFont val="Consolas"/>
        <family val="3"/>
      </rPr>
      <t>"FB"</t>
    </r>
    <r>
      <rPr>
        <sz val="11"/>
        <color rgb="FFF8F8F0"/>
        <rFont val="Consolas"/>
        <family val="3"/>
      </rPr>
      <t xml:space="preserve">  </t>
    </r>
    <r>
      <rPr>
        <i/>
        <sz val="11"/>
        <color rgb="FF5C6370"/>
        <rFont val="Consolas"/>
        <family val="3"/>
      </rPr>
      <t># "FB" / "ATC" / "noCBP" / "implicit" / "none"</t>
    </r>
  </si>
  <si>
    <r>
      <t xml:space="preserve">  </t>
    </r>
    <r>
      <rPr>
        <i/>
        <sz val="11"/>
        <color rgb="FF5C6370"/>
        <rFont val="Consolas"/>
        <family val="3"/>
      </rPr>
      <t># IC_reserve: 500000 # €/MW-year higher than the highest fixed cost</t>
    </r>
  </si>
  <si>
    <r>
      <t xml:space="preserve">  </t>
    </r>
    <r>
      <rPr>
        <i/>
        <sz val="11"/>
        <color rgb="FF5C6370"/>
        <rFont val="Consolas"/>
        <family val="3"/>
      </rPr>
      <t># MC_reserve: 50000 # €/MWh higher than voll</t>
    </r>
  </si>
  <si>
    <t># same variable cost for all generators.</t>
  </si>
  <si>
    <t>Parameters:</t>
  </si>
  <si>
    <t>Highlight</t>
  </si>
  <si>
    <t>interzonal lines = 3000MW; intra-zonal line =2000MW</t>
  </si>
  <si>
    <t>Same op. and inv. Cost for all generators</t>
  </si>
  <si>
    <t>[(503.73553852607347,</t>
  </si>
  <si>
    <t>-503.43538871049714),</t>
  </si>
  <si>
    <t>(692.8383372799963,</t>
  </si>
  <si>
    <t>-692.5380531570067),</t>
  </si>
  <si>
    <t>(1.273763006192894,</t>
  </si>
  <si>
    <t>-1.5751809853026526)]</t>
  </si>
  <si>
    <t>(503.73553852607347,</t>
  </si>
  <si>
    <t>-1.5751809853026526))</t>
  </si>
  <si>
    <t>[(91.32853340792315,</t>
  </si>
  <si>
    <t>-216.38038581588845),</t>
  </si>
  <si>
    <t>(831.1225627536202,</t>
  </si>
  <si>
    <t>-706.0219715513729),</t>
  </si>
  <si>
    <t>(785.6101553881733,</t>
  </si>
  <si>
    <t>-660.5407470807077)]</t>
  </si>
  <si>
    <t>(91.32853340792315,</t>
  </si>
  <si>
    <t>-660.5407470807077))</t>
  </si>
  <si>
    <t>[(454.6314185937855,</t>
  </si>
  <si>
    <t>-293.55120161966033),</t>
  </si>
  <si>
    <t>(1341.054150189169,</t>
  </si>
  <si>
    <t>-1179.9704766795992),</t>
  </si>
  <si>
    <t>(287.34133948360005,</t>
  </si>
  <si>
    <t>-448.4492992011802)]</t>
  </si>
  <si>
    <t>(454.6314185937855,</t>
  </si>
  <si>
    <t>-448.4492992011802))</t>
  </si>
  <si>
    <t>[(261.18788359647624,</t>
  </si>
  <si>
    <t>-157.48305284010632),</t>
  </si>
  <si>
    <t>(890.0198957293986,</t>
  </si>
  <si>
    <t>-470.99180456680153),</t>
  </si>
  <si>
    <t>(550.579988403602,</t>
  </si>
  <si>
    <t>-131.55716408510375)]</t>
  </si>
  <si>
    <t>(261.18788359647624,</t>
  </si>
  <si>
    <t>-131.55716408510375))</t>
  </si>
  <si>
    <t>Same as for noCBP</t>
  </si>
  <si>
    <t>Net import during scarcity: 5688.54 MW</t>
  </si>
  <si>
    <t>Net import during scarcity: 1373.73 MW</t>
  </si>
  <si>
    <t>Net import during scarcity: 3064.57 MW</t>
  </si>
  <si>
    <t>Scarcity situation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</si>
</sst>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E373CE"/>
      <name val="Consolas"/>
      <family val="3"/>
    </font>
    <font>
      <i/>
      <sz val="7"/>
      <color rgb="FF5C6370"/>
      <name val="Consolas"/>
      <family val="3"/>
    </font>
    <font>
      <sz val="11"/>
      <color theme="9" tint="-0.249977111117893"/>
      <name val="Calibri"/>
      <family val="2"/>
      <scheme val="minor"/>
    </font>
    <font>
      <sz val="11"/>
      <color rgb="FFF8F8F0"/>
      <name val="Consolas"/>
      <family val="3"/>
    </font>
    <font>
      <i/>
      <sz val="11"/>
      <color rgb="FF5C6370"/>
      <name val="Consolas"/>
      <family val="3"/>
    </font>
    <font>
      <sz val="11"/>
      <color rgb="FFFF3F4F"/>
      <name val="Consolas"/>
      <family val="3"/>
    </font>
    <font>
      <sz val="11"/>
      <color rgb="FFE373CE"/>
      <name val="Consolas"/>
      <family val="3"/>
    </font>
    <font>
      <sz val="11"/>
      <color rgb="FFFFD945"/>
      <name val="Consolas"/>
      <family val="3"/>
    </font>
    <font>
      <sz val="11"/>
      <color theme="2"/>
      <name val="Calibri"/>
      <family val="2"/>
      <scheme val="minor"/>
    </font>
    <font>
      <sz val="7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16171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/>
    <xf numFmtId="0" fontId="0" fillId="2" borderId="0" xfId="0" applyFill="1"/>
    <xf numFmtId="0" fontId="6" fillId="0" borderId="0" xfId="0" applyFont="1" applyAlignment="1">
      <alignment vertical="center"/>
    </xf>
    <xf numFmtId="0" fontId="1" fillId="2" borderId="0" xfId="0" applyFont="1" applyFill="1"/>
    <xf numFmtId="0" fontId="0" fillId="2" borderId="4" xfId="0" applyFill="1" applyBorder="1"/>
    <xf numFmtId="0" fontId="0" fillId="2" borderId="6" xfId="0" applyFill="1" applyBorder="1"/>
    <xf numFmtId="20" fontId="0" fillId="0" borderId="0" xfId="0" applyNumberFormat="1"/>
    <xf numFmtId="0" fontId="1" fillId="0" borderId="1" xfId="0" applyFont="1" applyBorder="1"/>
    <xf numFmtId="0" fontId="0" fillId="0" borderId="7" xfId="0" applyBorder="1"/>
    <xf numFmtId="0" fontId="1" fillId="0" borderId="3" xfId="0" applyFont="1" applyBorder="1"/>
    <xf numFmtId="0" fontId="1" fillId="0" borderId="5" xfId="0" applyFont="1" applyBorder="1"/>
    <xf numFmtId="0" fontId="0" fillId="0" borderId="8" xfId="0" applyBorder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/>
    <xf numFmtId="0" fontId="10" fillId="0" borderId="0" xfId="0" applyFont="1"/>
    <xf numFmtId="0" fontId="11" fillId="0" borderId="0" xfId="0" applyFont="1"/>
    <xf numFmtId="0" fontId="0" fillId="5" borderId="0" xfId="0" applyFill="1"/>
    <xf numFmtId="0" fontId="0" fillId="2" borderId="2" xfId="0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D36E-A49C-4DB8-B1CC-EB0A80891A98}">
  <dimension ref="A1:B286"/>
  <sheetViews>
    <sheetView workbookViewId="0">
      <selection activeCell="I4" sqref="I4"/>
    </sheetView>
  </sheetViews>
  <sheetFormatPr defaultRowHeight="14.5" x14ac:dyDescent="0.35"/>
  <cols>
    <col min="1" max="1" width="20.54296875" customWidth="1"/>
    <col min="2" max="2" width="10.453125" customWidth="1"/>
  </cols>
  <sheetData>
    <row r="1" spans="1:2" x14ac:dyDescent="0.35">
      <c r="A1" s="26" t="s">
        <v>188</v>
      </c>
      <c r="B1" s="26" t="s">
        <v>187</v>
      </c>
    </row>
    <row r="2" spans="1:2" x14ac:dyDescent="0.35">
      <c r="A2" s="26"/>
      <c r="B2" t="s">
        <v>190</v>
      </c>
    </row>
    <row r="3" spans="1:2" x14ac:dyDescent="0.35">
      <c r="A3" s="29"/>
      <c r="B3" t="s">
        <v>189</v>
      </c>
    </row>
    <row r="4" spans="1:2" x14ac:dyDescent="0.35">
      <c r="A4" s="29"/>
      <c r="B4" t="s">
        <v>227</v>
      </c>
    </row>
    <row r="5" spans="1:2" x14ac:dyDescent="0.35">
      <c r="A5" s="23" t="s">
        <v>62</v>
      </c>
    </row>
    <row r="6" spans="1:2" x14ac:dyDescent="0.35">
      <c r="A6" s="24" t="s">
        <v>63</v>
      </c>
    </row>
    <row r="7" spans="1:2" x14ac:dyDescent="0.35">
      <c r="A7" s="24" t="s">
        <v>64</v>
      </c>
    </row>
    <row r="8" spans="1:2" x14ac:dyDescent="0.35">
      <c r="A8" s="24" t="s">
        <v>65</v>
      </c>
    </row>
    <row r="9" spans="1:2" x14ac:dyDescent="0.35">
      <c r="A9" s="24" t="s">
        <v>66</v>
      </c>
    </row>
    <row r="10" spans="1:2" x14ac:dyDescent="0.35">
      <c r="A10" s="24" t="s">
        <v>67</v>
      </c>
    </row>
    <row r="11" spans="1:2" x14ac:dyDescent="0.35">
      <c r="A11" s="25"/>
    </row>
    <row r="12" spans="1:2" x14ac:dyDescent="0.35">
      <c r="A12" s="23" t="s">
        <v>68</v>
      </c>
    </row>
    <row r="13" spans="1:2" x14ac:dyDescent="0.35">
      <c r="A13" s="24" t="s">
        <v>69</v>
      </c>
    </row>
    <row r="14" spans="1:2" x14ac:dyDescent="0.35">
      <c r="A14" s="24" t="s">
        <v>70</v>
      </c>
    </row>
    <row r="15" spans="1:2" x14ac:dyDescent="0.35">
      <c r="A15" s="24" t="s">
        <v>71</v>
      </c>
    </row>
    <row r="16" spans="1:2" x14ac:dyDescent="0.35">
      <c r="A16" s="24" t="s">
        <v>72</v>
      </c>
    </row>
    <row r="17" spans="1:1" x14ac:dyDescent="0.35">
      <c r="A17" s="24" t="s">
        <v>73</v>
      </c>
    </row>
    <row r="18" spans="1:1" x14ac:dyDescent="0.35">
      <c r="A18" s="25"/>
    </row>
    <row r="19" spans="1:1" x14ac:dyDescent="0.35">
      <c r="A19" s="23" t="s">
        <v>74</v>
      </c>
    </row>
    <row r="20" spans="1:1" x14ac:dyDescent="0.35">
      <c r="A20" s="24" t="s">
        <v>75</v>
      </c>
    </row>
    <row r="21" spans="1:1" x14ac:dyDescent="0.35">
      <c r="A21" s="25"/>
    </row>
    <row r="22" spans="1:1" x14ac:dyDescent="0.35">
      <c r="A22" s="25"/>
    </row>
    <row r="23" spans="1:1" x14ac:dyDescent="0.35">
      <c r="A23" s="23" t="s">
        <v>76</v>
      </c>
    </row>
    <row r="24" spans="1:1" x14ac:dyDescent="0.35">
      <c r="A24" s="24" t="s">
        <v>77</v>
      </c>
    </row>
    <row r="25" spans="1:1" x14ac:dyDescent="0.35">
      <c r="A25" s="24" t="s">
        <v>78</v>
      </c>
    </row>
    <row r="26" spans="1:1" x14ac:dyDescent="0.35">
      <c r="A26" s="24" t="s">
        <v>79</v>
      </c>
    </row>
    <row r="27" spans="1:1" x14ac:dyDescent="0.35">
      <c r="A27" s="24" t="s">
        <v>80</v>
      </c>
    </row>
    <row r="28" spans="1:1" x14ac:dyDescent="0.35">
      <c r="A28" s="24" t="s">
        <v>81</v>
      </c>
    </row>
    <row r="29" spans="1:1" x14ac:dyDescent="0.35">
      <c r="A29" s="24" t="s">
        <v>82</v>
      </c>
    </row>
    <row r="30" spans="1:1" x14ac:dyDescent="0.35">
      <c r="A30" s="24" t="s">
        <v>83</v>
      </c>
    </row>
    <row r="31" spans="1:1" x14ac:dyDescent="0.35">
      <c r="A31" s="24" t="s">
        <v>84</v>
      </c>
    </row>
    <row r="32" spans="1:1" x14ac:dyDescent="0.35">
      <c r="A32" s="25"/>
    </row>
    <row r="33" spans="1:1" x14ac:dyDescent="0.35">
      <c r="A33" s="24" t="s">
        <v>85</v>
      </c>
    </row>
    <row r="34" spans="1:1" x14ac:dyDescent="0.35">
      <c r="A34" s="24" t="s">
        <v>86</v>
      </c>
    </row>
    <row r="35" spans="1:1" x14ac:dyDescent="0.35">
      <c r="A35" s="24" t="s">
        <v>87</v>
      </c>
    </row>
    <row r="36" spans="1:1" x14ac:dyDescent="0.35">
      <c r="A36" s="24" t="s">
        <v>88</v>
      </c>
    </row>
    <row r="37" spans="1:1" x14ac:dyDescent="0.35">
      <c r="A37" s="24" t="s">
        <v>89</v>
      </c>
    </row>
    <row r="38" spans="1:1" x14ac:dyDescent="0.35">
      <c r="A38" s="24" t="s">
        <v>82</v>
      </c>
    </row>
    <row r="39" spans="1:1" x14ac:dyDescent="0.35">
      <c r="A39" s="24" t="s">
        <v>90</v>
      </c>
    </row>
    <row r="40" spans="1:1" x14ac:dyDescent="0.35">
      <c r="A40" s="25"/>
    </row>
    <row r="41" spans="1:1" x14ac:dyDescent="0.35">
      <c r="A41" s="24" t="s">
        <v>91</v>
      </c>
    </row>
    <row r="42" spans="1:1" x14ac:dyDescent="0.35">
      <c r="A42" s="24" t="s">
        <v>86</v>
      </c>
    </row>
    <row r="43" spans="1:1" x14ac:dyDescent="0.35">
      <c r="A43" s="24" t="s">
        <v>92</v>
      </c>
    </row>
    <row r="44" spans="1:1" x14ac:dyDescent="0.35">
      <c r="A44" s="24" t="s">
        <v>88</v>
      </c>
    </row>
    <row r="45" spans="1:1" x14ac:dyDescent="0.35">
      <c r="A45" s="24" t="s">
        <v>89</v>
      </c>
    </row>
    <row r="46" spans="1:1" x14ac:dyDescent="0.35">
      <c r="A46" s="24" t="s">
        <v>82</v>
      </c>
    </row>
    <row r="47" spans="1:1" x14ac:dyDescent="0.35">
      <c r="A47" s="24" t="s">
        <v>93</v>
      </c>
    </row>
    <row r="48" spans="1:1" x14ac:dyDescent="0.35">
      <c r="A48" s="25"/>
    </row>
    <row r="49" spans="1:1" x14ac:dyDescent="0.35">
      <c r="A49" s="23" t="s">
        <v>94</v>
      </c>
    </row>
    <row r="50" spans="1:1" x14ac:dyDescent="0.35">
      <c r="A50" s="24" t="s">
        <v>95</v>
      </c>
    </row>
    <row r="51" spans="1:1" x14ac:dyDescent="0.35">
      <c r="A51" s="24" t="s">
        <v>96</v>
      </c>
    </row>
    <row r="52" spans="1:1" x14ac:dyDescent="0.35">
      <c r="A52" s="24" t="s">
        <v>97</v>
      </c>
    </row>
    <row r="53" spans="1:1" x14ac:dyDescent="0.35">
      <c r="A53" s="24" t="s">
        <v>98</v>
      </c>
    </row>
    <row r="54" spans="1:1" x14ac:dyDescent="0.35">
      <c r="A54" s="24" t="s">
        <v>99</v>
      </c>
    </row>
    <row r="55" spans="1:1" x14ac:dyDescent="0.35">
      <c r="A55" s="24" t="s">
        <v>100</v>
      </c>
    </row>
    <row r="56" spans="1:1" x14ac:dyDescent="0.35">
      <c r="A56" s="24" t="s">
        <v>101</v>
      </c>
    </row>
    <row r="57" spans="1:1" x14ac:dyDescent="0.35">
      <c r="A57" s="24" t="s">
        <v>102</v>
      </c>
    </row>
    <row r="58" spans="1:1" x14ac:dyDescent="0.35">
      <c r="A58" s="24" t="s">
        <v>103</v>
      </c>
    </row>
    <row r="59" spans="1:1" x14ac:dyDescent="0.35">
      <c r="A59" s="24" t="s">
        <v>104</v>
      </c>
    </row>
    <row r="60" spans="1:1" x14ac:dyDescent="0.35">
      <c r="A60" s="24" t="s">
        <v>105</v>
      </c>
    </row>
    <row r="61" spans="1:1" x14ac:dyDescent="0.35">
      <c r="A61" s="24" t="s">
        <v>106</v>
      </c>
    </row>
    <row r="62" spans="1:1" x14ac:dyDescent="0.35">
      <c r="A62" s="24" t="s">
        <v>107</v>
      </c>
    </row>
    <row r="63" spans="1:1" x14ac:dyDescent="0.35">
      <c r="A63" s="25"/>
    </row>
    <row r="64" spans="1:1" x14ac:dyDescent="0.35">
      <c r="A64" s="24" t="s">
        <v>108</v>
      </c>
    </row>
    <row r="65" spans="1:1" x14ac:dyDescent="0.35">
      <c r="A65" s="24" t="s">
        <v>109</v>
      </c>
    </row>
    <row r="66" spans="1:1" x14ac:dyDescent="0.35">
      <c r="A66" s="24" t="s">
        <v>110</v>
      </c>
    </row>
    <row r="67" spans="1:1" x14ac:dyDescent="0.35">
      <c r="A67" s="24" t="s">
        <v>100</v>
      </c>
    </row>
    <row r="68" spans="1:1" x14ac:dyDescent="0.35">
      <c r="A68" s="24" t="s">
        <v>111</v>
      </c>
    </row>
    <row r="69" spans="1:1" x14ac:dyDescent="0.35">
      <c r="A69" s="24" t="s">
        <v>102</v>
      </c>
    </row>
    <row r="70" spans="1:1" x14ac:dyDescent="0.35">
      <c r="A70" s="24" t="s">
        <v>103</v>
      </c>
    </row>
    <row r="71" spans="1:1" x14ac:dyDescent="0.35">
      <c r="A71" s="24" t="s">
        <v>104</v>
      </c>
    </row>
    <row r="72" spans="1:1" x14ac:dyDescent="0.35">
      <c r="A72" s="24" t="s">
        <v>105</v>
      </c>
    </row>
    <row r="73" spans="1:1" x14ac:dyDescent="0.35">
      <c r="A73" s="24" t="s">
        <v>106</v>
      </c>
    </row>
    <row r="74" spans="1:1" x14ac:dyDescent="0.35">
      <c r="A74" s="24" t="s">
        <v>107</v>
      </c>
    </row>
    <row r="75" spans="1:1" x14ac:dyDescent="0.35">
      <c r="A75" s="25"/>
    </row>
    <row r="76" spans="1:1" x14ac:dyDescent="0.35">
      <c r="A76" s="24" t="s">
        <v>112</v>
      </c>
    </row>
    <row r="77" spans="1:1" x14ac:dyDescent="0.35">
      <c r="A77" s="24" t="s">
        <v>113</v>
      </c>
    </row>
    <row r="78" spans="1:1" x14ac:dyDescent="0.35">
      <c r="A78" s="24" t="s">
        <v>114</v>
      </c>
    </row>
    <row r="79" spans="1:1" x14ac:dyDescent="0.35">
      <c r="A79" s="24" t="s">
        <v>100</v>
      </c>
    </row>
    <row r="80" spans="1:1" x14ac:dyDescent="0.35">
      <c r="A80" s="24" t="s">
        <v>115</v>
      </c>
    </row>
    <row r="81" spans="1:1" x14ac:dyDescent="0.35">
      <c r="A81" s="24" t="s">
        <v>102</v>
      </c>
    </row>
    <row r="82" spans="1:1" x14ac:dyDescent="0.35">
      <c r="A82" s="24" t="s">
        <v>103</v>
      </c>
    </row>
    <row r="83" spans="1:1" x14ac:dyDescent="0.35">
      <c r="A83" s="24" t="s">
        <v>104</v>
      </c>
    </row>
    <row r="84" spans="1:1" x14ac:dyDescent="0.35">
      <c r="A84" s="24" t="s">
        <v>105</v>
      </c>
    </row>
    <row r="85" spans="1:1" x14ac:dyDescent="0.35">
      <c r="A85" s="24" t="s">
        <v>106</v>
      </c>
    </row>
    <row r="86" spans="1:1" x14ac:dyDescent="0.35">
      <c r="A86" s="24" t="s">
        <v>107</v>
      </c>
    </row>
    <row r="87" spans="1:1" x14ac:dyDescent="0.35">
      <c r="A87" s="25"/>
    </row>
    <row r="88" spans="1:1" x14ac:dyDescent="0.35">
      <c r="A88" s="24" t="s">
        <v>116</v>
      </c>
    </row>
    <row r="89" spans="1:1" x14ac:dyDescent="0.35">
      <c r="A89" s="24" t="s">
        <v>117</v>
      </c>
    </row>
    <row r="90" spans="1:1" x14ac:dyDescent="0.35">
      <c r="A90" s="24" t="s">
        <v>118</v>
      </c>
    </row>
    <row r="91" spans="1:1" x14ac:dyDescent="0.35">
      <c r="A91" s="24" t="s">
        <v>119</v>
      </c>
    </row>
    <row r="92" spans="1:1" x14ac:dyDescent="0.35">
      <c r="A92" s="24" t="s">
        <v>120</v>
      </c>
    </row>
    <row r="93" spans="1:1" x14ac:dyDescent="0.35">
      <c r="A93" s="24" t="s">
        <v>121</v>
      </c>
    </row>
    <row r="94" spans="1:1" x14ac:dyDescent="0.35">
      <c r="A94" s="24" t="s">
        <v>122</v>
      </c>
    </row>
    <row r="95" spans="1:1" x14ac:dyDescent="0.35">
      <c r="A95" s="24" t="s">
        <v>123</v>
      </c>
    </row>
    <row r="96" spans="1:1" x14ac:dyDescent="0.35">
      <c r="A96" s="24" t="s">
        <v>124</v>
      </c>
    </row>
    <row r="97" spans="1:1" x14ac:dyDescent="0.35">
      <c r="A97" s="24" t="s">
        <v>105</v>
      </c>
    </row>
    <row r="98" spans="1:1" x14ac:dyDescent="0.35">
      <c r="A98" s="24" t="s">
        <v>106</v>
      </c>
    </row>
    <row r="99" spans="1:1" x14ac:dyDescent="0.35">
      <c r="A99" s="24" t="s">
        <v>107</v>
      </c>
    </row>
    <row r="100" spans="1:1" x14ac:dyDescent="0.35">
      <c r="A100" s="24" t="s">
        <v>125</v>
      </c>
    </row>
    <row r="101" spans="1:1" x14ac:dyDescent="0.35">
      <c r="A101" s="24" t="s">
        <v>117</v>
      </c>
    </row>
    <row r="102" spans="1:1" x14ac:dyDescent="0.35">
      <c r="A102" s="24" t="s">
        <v>118</v>
      </c>
    </row>
    <row r="103" spans="1:1" x14ac:dyDescent="0.35">
      <c r="A103" s="24" t="s">
        <v>126</v>
      </c>
    </row>
    <row r="104" spans="1:1" x14ac:dyDescent="0.35">
      <c r="A104" s="24" t="s">
        <v>127</v>
      </c>
    </row>
    <row r="105" spans="1:1" x14ac:dyDescent="0.35">
      <c r="A105" s="24" t="s">
        <v>128</v>
      </c>
    </row>
    <row r="106" spans="1:1" x14ac:dyDescent="0.35">
      <c r="A106" s="24" t="s">
        <v>122</v>
      </c>
    </row>
    <row r="107" spans="1:1" x14ac:dyDescent="0.35">
      <c r="A107" s="24" t="s">
        <v>123</v>
      </c>
    </row>
    <row r="108" spans="1:1" x14ac:dyDescent="0.35">
      <c r="A108" s="24" t="s">
        <v>124</v>
      </c>
    </row>
    <row r="109" spans="1:1" x14ac:dyDescent="0.35">
      <c r="A109" s="24" t="s">
        <v>105</v>
      </c>
    </row>
    <row r="110" spans="1:1" x14ac:dyDescent="0.35">
      <c r="A110" s="24" t="s">
        <v>106</v>
      </c>
    </row>
    <row r="111" spans="1:1" x14ac:dyDescent="0.35">
      <c r="A111" s="24" t="s">
        <v>107</v>
      </c>
    </row>
    <row r="112" spans="1:1" x14ac:dyDescent="0.35">
      <c r="A112" s="24" t="s">
        <v>85</v>
      </c>
    </row>
    <row r="113" spans="1:1" x14ac:dyDescent="0.35">
      <c r="A113" s="24" t="s">
        <v>97</v>
      </c>
    </row>
    <row r="114" spans="1:1" x14ac:dyDescent="0.35">
      <c r="A114" s="24" t="s">
        <v>98</v>
      </c>
    </row>
    <row r="115" spans="1:1" x14ac:dyDescent="0.35">
      <c r="A115" s="24" t="s">
        <v>99</v>
      </c>
    </row>
    <row r="116" spans="1:1" x14ac:dyDescent="0.35">
      <c r="A116" s="24" t="s">
        <v>100</v>
      </c>
    </row>
    <row r="117" spans="1:1" x14ac:dyDescent="0.35">
      <c r="A117" s="24" t="s">
        <v>129</v>
      </c>
    </row>
    <row r="118" spans="1:1" x14ac:dyDescent="0.35">
      <c r="A118" s="24" t="s">
        <v>102</v>
      </c>
    </row>
    <row r="119" spans="1:1" x14ac:dyDescent="0.35">
      <c r="A119" s="24" t="s">
        <v>103</v>
      </c>
    </row>
    <row r="120" spans="1:1" x14ac:dyDescent="0.35">
      <c r="A120" s="24" t="s">
        <v>104</v>
      </c>
    </row>
    <row r="121" spans="1:1" x14ac:dyDescent="0.35">
      <c r="A121" s="24" t="s">
        <v>105</v>
      </c>
    </row>
    <row r="122" spans="1:1" x14ac:dyDescent="0.35">
      <c r="A122" s="24" t="s">
        <v>130</v>
      </c>
    </row>
    <row r="123" spans="1:1" x14ac:dyDescent="0.35">
      <c r="A123" s="25"/>
    </row>
    <row r="124" spans="1:1" x14ac:dyDescent="0.35">
      <c r="A124" s="24" t="s">
        <v>108</v>
      </c>
    </row>
    <row r="125" spans="1:1" x14ac:dyDescent="0.35">
      <c r="A125" s="24" t="s">
        <v>109</v>
      </c>
    </row>
    <row r="126" spans="1:1" x14ac:dyDescent="0.35">
      <c r="A126" s="24" t="s">
        <v>110</v>
      </c>
    </row>
    <row r="127" spans="1:1" x14ac:dyDescent="0.35">
      <c r="A127" s="24" t="s">
        <v>100</v>
      </c>
    </row>
    <row r="128" spans="1:1" x14ac:dyDescent="0.35">
      <c r="A128" s="24" t="s">
        <v>111</v>
      </c>
    </row>
    <row r="129" spans="1:1" x14ac:dyDescent="0.35">
      <c r="A129" s="24" t="s">
        <v>102</v>
      </c>
    </row>
    <row r="130" spans="1:1" x14ac:dyDescent="0.35">
      <c r="A130" s="24" t="s">
        <v>103</v>
      </c>
    </row>
    <row r="131" spans="1:1" x14ac:dyDescent="0.35">
      <c r="A131" s="24" t="s">
        <v>104</v>
      </c>
    </row>
    <row r="132" spans="1:1" x14ac:dyDescent="0.35">
      <c r="A132" s="24" t="s">
        <v>105</v>
      </c>
    </row>
    <row r="133" spans="1:1" x14ac:dyDescent="0.35">
      <c r="A133" s="24" t="s">
        <v>130</v>
      </c>
    </row>
    <row r="134" spans="1:1" x14ac:dyDescent="0.35">
      <c r="A134" s="25"/>
    </row>
    <row r="135" spans="1:1" x14ac:dyDescent="0.35">
      <c r="A135" s="24" t="s">
        <v>112</v>
      </c>
    </row>
    <row r="136" spans="1:1" x14ac:dyDescent="0.35">
      <c r="A136" s="24" t="s">
        <v>113</v>
      </c>
    </row>
    <row r="137" spans="1:1" x14ac:dyDescent="0.35">
      <c r="A137" s="24" t="s">
        <v>114</v>
      </c>
    </row>
    <row r="138" spans="1:1" x14ac:dyDescent="0.35">
      <c r="A138" s="24" t="s">
        <v>100</v>
      </c>
    </row>
    <row r="139" spans="1:1" x14ac:dyDescent="0.35">
      <c r="A139" s="24" t="s">
        <v>115</v>
      </c>
    </row>
    <row r="140" spans="1:1" x14ac:dyDescent="0.35">
      <c r="A140" s="24" t="s">
        <v>102</v>
      </c>
    </row>
    <row r="141" spans="1:1" x14ac:dyDescent="0.35">
      <c r="A141" s="24" t="s">
        <v>103</v>
      </c>
    </row>
    <row r="142" spans="1:1" x14ac:dyDescent="0.35">
      <c r="A142" s="24" t="s">
        <v>104</v>
      </c>
    </row>
    <row r="143" spans="1:1" x14ac:dyDescent="0.35">
      <c r="A143" s="24" t="s">
        <v>105</v>
      </c>
    </row>
    <row r="144" spans="1:1" x14ac:dyDescent="0.35">
      <c r="A144" s="24" t="s">
        <v>130</v>
      </c>
    </row>
    <row r="145" spans="1:1" x14ac:dyDescent="0.35">
      <c r="A145" s="25"/>
    </row>
    <row r="146" spans="1:1" x14ac:dyDescent="0.35">
      <c r="A146" s="24" t="s">
        <v>116</v>
      </c>
    </row>
    <row r="147" spans="1:1" x14ac:dyDescent="0.35">
      <c r="A147" s="24" t="s">
        <v>117</v>
      </c>
    </row>
    <row r="148" spans="1:1" x14ac:dyDescent="0.35">
      <c r="A148" s="24" t="s">
        <v>118</v>
      </c>
    </row>
    <row r="149" spans="1:1" x14ac:dyDescent="0.35">
      <c r="A149" s="24" t="s">
        <v>131</v>
      </c>
    </row>
    <row r="150" spans="1:1" x14ac:dyDescent="0.35">
      <c r="A150" s="24" t="s">
        <v>120</v>
      </c>
    </row>
    <row r="151" spans="1:1" x14ac:dyDescent="0.35">
      <c r="A151" s="24" t="s">
        <v>132</v>
      </c>
    </row>
    <row r="152" spans="1:1" x14ac:dyDescent="0.35">
      <c r="A152" s="24" t="s">
        <v>133</v>
      </c>
    </row>
    <row r="153" spans="1:1" x14ac:dyDescent="0.35">
      <c r="A153" s="24" t="s">
        <v>123</v>
      </c>
    </row>
    <row r="154" spans="1:1" x14ac:dyDescent="0.35">
      <c r="A154" s="24" t="s">
        <v>124</v>
      </c>
    </row>
    <row r="155" spans="1:1" x14ac:dyDescent="0.35">
      <c r="A155" s="24" t="s">
        <v>105</v>
      </c>
    </row>
    <row r="156" spans="1:1" x14ac:dyDescent="0.35">
      <c r="A156" s="24" t="s">
        <v>130</v>
      </c>
    </row>
    <row r="157" spans="1:1" x14ac:dyDescent="0.35">
      <c r="A157" s="25"/>
    </row>
    <row r="158" spans="1:1" x14ac:dyDescent="0.35">
      <c r="A158" s="24" t="s">
        <v>125</v>
      </c>
    </row>
    <row r="159" spans="1:1" x14ac:dyDescent="0.35">
      <c r="A159" s="24" t="s">
        <v>117</v>
      </c>
    </row>
    <row r="160" spans="1:1" x14ac:dyDescent="0.35">
      <c r="A160" s="24" t="s">
        <v>118</v>
      </c>
    </row>
    <row r="161" spans="1:1" x14ac:dyDescent="0.35">
      <c r="A161" s="24" t="s">
        <v>134</v>
      </c>
    </row>
    <row r="162" spans="1:1" x14ac:dyDescent="0.35">
      <c r="A162" s="24" t="s">
        <v>120</v>
      </c>
    </row>
    <row r="163" spans="1:1" x14ac:dyDescent="0.35">
      <c r="A163" s="24" t="s">
        <v>135</v>
      </c>
    </row>
    <row r="164" spans="1:1" x14ac:dyDescent="0.35">
      <c r="A164" s="24" t="s">
        <v>133</v>
      </c>
    </row>
    <row r="165" spans="1:1" x14ac:dyDescent="0.35">
      <c r="A165" s="24" t="s">
        <v>123</v>
      </c>
    </row>
    <row r="166" spans="1:1" x14ac:dyDescent="0.35">
      <c r="A166" s="24" t="s">
        <v>124</v>
      </c>
    </row>
    <row r="167" spans="1:1" x14ac:dyDescent="0.35">
      <c r="A167" s="24" t="s">
        <v>105</v>
      </c>
    </row>
    <row r="168" spans="1:1" x14ac:dyDescent="0.35">
      <c r="A168" s="24" t="s">
        <v>130</v>
      </c>
    </row>
    <row r="169" spans="1:1" x14ac:dyDescent="0.35">
      <c r="A169" s="25"/>
    </row>
    <row r="170" spans="1:1" x14ac:dyDescent="0.35">
      <c r="A170" s="24" t="s">
        <v>136</v>
      </c>
    </row>
    <row r="171" spans="1:1" x14ac:dyDescent="0.35">
      <c r="A171" s="24" t="s">
        <v>97</v>
      </c>
    </row>
    <row r="172" spans="1:1" x14ac:dyDescent="0.35">
      <c r="A172" s="24" t="s">
        <v>98</v>
      </c>
    </row>
    <row r="173" spans="1:1" x14ac:dyDescent="0.35">
      <c r="A173" s="24" t="s">
        <v>99</v>
      </c>
    </row>
    <row r="174" spans="1:1" x14ac:dyDescent="0.35">
      <c r="A174" s="24" t="s">
        <v>100</v>
      </c>
    </row>
    <row r="175" spans="1:1" x14ac:dyDescent="0.35">
      <c r="A175" s="24" t="s">
        <v>129</v>
      </c>
    </row>
    <row r="176" spans="1:1" x14ac:dyDescent="0.35">
      <c r="A176" s="24" t="s">
        <v>102</v>
      </c>
    </row>
    <row r="177" spans="1:1" x14ac:dyDescent="0.35">
      <c r="A177" s="24" t="s">
        <v>103</v>
      </c>
    </row>
    <row r="178" spans="1:1" x14ac:dyDescent="0.35">
      <c r="A178" s="24" t="s">
        <v>104</v>
      </c>
    </row>
    <row r="179" spans="1:1" x14ac:dyDescent="0.35">
      <c r="A179" s="24" t="s">
        <v>105</v>
      </c>
    </row>
    <row r="180" spans="1:1" x14ac:dyDescent="0.35">
      <c r="A180" s="24" t="s">
        <v>137</v>
      </c>
    </row>
    <row r="181" spans="1:1" x14ac:dyDescent="0.35">
      <c r="A181" s="25"/>
    </row>
    <row r="182" spans="1:1" x14ac:dyDescent="0.35">
      <c r="A182" s="24" t="s">
        <v>108</v>
      </c>
    </row>
    <row r="183" spans="1:1" x14ac:dyDescent="0.35">
      <c r="A183" s="24" t="s">
        <v>109</v>
      </c>
    </row>
    <row r="184" spans="1:1" x14ac:dyDescent="0.35">
      <c r="A184" s="24" t="s">
        <v>110</v>
      </c>
    </row>
    <row r="185" spans="1:1" x14ac:dyDescent="0.35">
      <c r="A185" s="24" t="s">
        <v>100</v>
      </c>
    </row>
    <row r="186" spans="1:1" x14ac:dyDescent="0.35">
      <c r="A186" s="24" t="s">
        <v>111</v>
      </c>
    </row>
    <row r="187" spans="1:1" x14ac:dyDescent="0.35">
      <c r="A187" s="24" t="s">
        <v>102</v>
      </c>
    </row>
    <row r="188" spans="1:1" x14ac:dyDescent="0.35">
      <c r="A188" s="24" t="s">
        <v>103</v>
      </c>
    </row>
    <row r="189" spans="1:1" x14ac:dyDescent="0.35">
      <c r="A189" s="24" t="s">
        <v>104</v>
      </c>
    </row>
    <row r="190" spans="1:1" x14ac:dyDescent="0.35">
      <c r="A190" s="24" t="s">
        <v>105</v>
      </c>
    </row>
    <row r="191" spans="1:1" x14ac:dyDescent="0.35">
      <c r="A191" s="24" t="s">
        <v>137</v>
      </c>
    </row>
    <row r="192" spans="1:1" x14ac:dyDescent="0.35">
      <c r="A192" s="25"/>
    </row>
    <row r="193" spans="1:1" x14ac:dyDescent="0.35">
      <c r="A193" s="24" t="s">
        <v>112</v>
      </c>
    </row>
    <row r="194" spans="1:1" x14ac:dyDescent="0.35">
      <c r="A194" s="24" t="s">
        <v>113</v>
      </c>
    </row>
    <row r="195" spans="1:1" x14ac:dyDescent="0.35">
      <c r="A195" s="24" t="s">
        <v>114</v>
      </c>
    </row>
    <row r="196" spans="1:1" x14ac:dyDescent="0.35">
      <c r="A196" s="24" t="s">
        <v>100</v>
      </c>
    </row>
    <row r="197" spans="1:1" x14ac:dyDescent="0.35">
      <c r="A197" s="24" t="s">
        <v>115</v>
      </c>
    </row>
    <row r="198" spans="1:1" x14ac:dyDescent="0.35">
      <c r="A198" s="24" t="s">
        <v>102</v>
      </c>
    </row>
    <row r="199" spans="1:1" x14ac:dyDescent="0.35">
      <c r="A199" s="24" t="s">
        <v>103</v>
      </c>
    </row>
    <row r="200" spans="1:1" x14ac:dyDescent="0.35">
      <c r="A200" s="24" t="s">
        <v>104</v>
      </c>
    </row>
    <row r="201" spans="1:1" x14ac:dyDescent="0.35">
      <c r="A201" s="24" t="s">
        <v>105</v>
      </c>
    </row>
    <row r="202" spans="1:1" x14ac:dyDescent="0.35">
      <c r="A202" s="24" t="s">
        <v>137</v>
      </c>
    </row>
    <row r="203" spans="1:1" x14ac:dyDescent="0.35">
      <c r="A203" s="25"/>
    </row>
    <row r="204" spans="1:1" x14ac:dyDescent="0.35">
      <c r="A204" s="24" t="s">
        <v>116</v>
      </c>
    </row>
    <row r="205" spans="1:1" x14ac:dyDescent="0.35">
      <c r="A205" s="24" t="s">
        <v>117</v>
      </c>
    </row>
    <row r="206" spans="1:1" x14ac:dyDescent="0.35">
      <c r="A206" s="24" t="s">
        <v>118</v>
      </c>
    </row>
    <row r="207" spans="1:1" x14ac:dyDescent="0.35">
      <c r="A207" s="24" t="s">
        <v>138</v>
      </c>
    </row>
    <row r="208" spans="1:1" x14ac:dyDescent="0.35">
      <c r="A208" s="24" t="s">
        <v>139</v>
      </c>
    </row>
    <row r="209" spans="1:1" x14ac:dyDescent="0.35">
      <c r="A209" s="24" t="s">
        <v>140</v>
      </c>
    </row>
    <row r="210" spans="1:1" x14ac:dyDescent="0.35">
      <c r="A210" s="24" t="s">
        <v>141</v>
      </c>
    </row>
    <row r="211" spans="1:1" x14ac:dyDescent="0.35">
      <c r="A211" s="24" t="s">
        <v>123</v>
      </c>
    </row>
    <row r="212" spans="1:1" x14ac:dyDescent="0.35">
      <c r="A212" s="24" t="s">
        <v>124</v>
      </c>
    </row>
    <row r="213" spans="1:1" x14ac:dyDescent="0.35">
      <c r="A213" s="24" t="s">
        <v>105</v>
      </c>
    </row>
    <row r="214" spans="1:1" x14ac:dyDescent="0.35">
      <c r="A214" s="24" t="s">
        <v>137</v>
      </c>
    </row>
    <row r="215" spans="1:1" x14ac:dyDescent="0.35">
      <c r="A215" s="25"/>
    </row>
    <row r="216" spans="1:1" x14ac:dyDescent="0.35">
      <c r="A216" s="24" t="s">
        <v>125</v>
      </c>
    </row>
    <row r="217" spans="1:1" x14ac:dyDescent="0.35">
      <c r="A217" s="24" t="s">
        <v>117</v>
      </c>
    </row>
    <row r="218" spans="1:1" x14ac:dyDescent="0.35">
      <c r="A218" s="24" t="s">
        <v>118</v>
      </c>
    </row>
    <row r="219" spans="1:1" x14ac:dyDescent="0.35">
      <c r="A219" s="24" t="s">
        <v>142</v>
      </c>
    </row>
    <row r="220" spans="1:1" x14ac:dyDescent="0.35">
      <c r="A220" s="24" t="s">
        <v>139</v>
      </c>
    </row>
    <row r="221" spans="1:1" x14ac:dyDescent="0.35">
      <c r="A221" s="24" t="s">
        <v>143</v>
      </c>
    </row>
    <row r="222" spans="1:1" x14ac:dyDescent="0.35">
      <c r="A222" s="24" t="s">
        <v>141</v>
      </c>
    </row>
    <row r="223" spans="1:1" x14ac:dyDescent="0.35">
      <c r="A223" s="24" t="s">
        <v>123</v>
      </c>
    </row>
    <row r="224" spans="1:1" x14ac:dyDescent="0.35">
      <c r="A224" s="24" t="s">
        <v>124</v>
      </c>
    </row>
    <row r="225" spans="1:1" x14ac:dyDescent="0.35">
      <c r="A225" s="24" t="s">
        <v>105</v>
      </c>
    </row>
    <row r="226" spans="1:1" x14ac:dyDescent="0.35">
      <c r="A226" s="24" t="s">
        <v>137</v>
      </c>
    </row>
    <row r="227" spans="1:1" x14ac:dyDescent="0.35">
      <c r="A227" s="25"/>
    </row>
    <row r="228" spans="1:1" x14ac:dyDescent="0.35">
      <c r="A228" s="23" t="s">
        <v>144</v>
      </c>
    </row>
    <row r="229" spans="1:1" x14ac:dyDescent="0.35">
      <c r="A229" s="24" t="s">
        <v>77</v>
      </c>
    </row>
    <row r="230" spans="1:1" x14ac:dyDescent="0.35">
      <c r="A230" s="24" t="s">
        <v>145</v>
      </c>
    </row>
    <row r="231" spans="1:1" x14ac:dyDescent="0.35">
      <c r="A231" s="24" t="s">
        <v>146</v>
      </c>
    </row>
    <row r="232" spans="1:1" x14ac:dyDescent="0.35">
      <c r="A232" s="24" t="s">
        <v>147</v>
      </c>
    </row>
    <row r="233" spans="1:1" x14ac:dyDescent="0.35">
      <c r="A233" s="24" t="s">
        <v>148</v>
      </c>
    </row>
    <row r="234" spans="1:1" x14ac:dyDescent="0.35">
      <c r="A234" s="24" t="s">
        <v>149</v>
      </c>
    </row>
    <row r="235" spans="1:1" x14ac:dyDescent="0.35">
      <c r="A235" s="24" t="s">
        <v>150</v>
      </c>
    </row>
    <row r="236" spans="1:1" x14ac:dyDescent="0.35">
      <c r="A236" s="24" t="s">
        <v>151</v>
      </c>
    </row>
    <row r="237" spans="1:1" x14ac:dyDescent="0.35">
      <c r="A237" s="24" t="s">
        <v>85</v>
      </c>
    </row>
    <row r="238" spans="1:1" x14ac:dyDescent="0.35">
      <c r="A238" s="24" t="s">
        <v>152</v>
      </c>
    </row>
    <row r="239" spans="1:1" x14ac:dyDescent="0.35">
      <c r="A239" s="24" t="s">
        <v>153</v>
      </c>
    </row>
    <row r="240" spans="1:1" x14ac:dyDescent="0.35">
      <c r="A240" s="24" t="s">
        <v>154</v>
      </c>
    </row>
    <row r="241" spans="1:1" x14ac:dyDescent="0.35">
      <c r="A241" s="24" t="s">
        <v>149</v>
      </c>
    </row>
    <row r="242" spans="1:1" x14ac:dyDescent="0.35">
      <c r="A242" s="24" t="s">
        <v>150</v>
      </c>
    </row>
    <row r="243" spans="1:1" x14ac:dyDescent="0.35">
      <c r="A243" s="24" t="s">
        <v>155</v>
      </c>
    </row>
    <row r="244" spans="1:1" x14ac:dyDescent="0.35">
      <c r="A244" s="24" t="s">
        <v>91</v>
      </c>
    </row>
    <row r="245" spans="1:1" x14ac:dyDescent="0.35">
      <c r="A245" s="24" t="s">
        <v>156</v>
      </c>
    </row>
    <row r="246" spans="1:1" x14ac:dyDescent="0.35">
      <c r="A246" s="24" t="s">
        <v>157</v>
      </c>
    </row>
    <row r="247" spans="1:1" x14ac:dyDescent="0.35">
      <c r="A247" s="24" t="s">
        <v>154</v>
      </c>
    </row>
    <row r="248" spans="1:1" x14ac:dyDescent="0.35">
      <c r="A248" s="24" t="s">
        <v>149</v>
      </c>
    </row>
    <row r="249" spans="1:1" x14ac:dyDescent="0.35">
      <c r="A249" s="24" t="s">
        <v>150</v>
      </c>
    </row>
    <row r="250" spans="1:1" x14ac:dyDescent="0.35">
      <c r="A250" s="24" t="s">
        <v>158</v>
      </c>
    </row>
    <row r="251" spans="1:1" x14ac:dyDescent="0.35">
      <c r="A251" s="25"/>
    </row>
    <row r="252" spans="1:1" x14ac:dyDescent="0.35">
      <c r="A252" s="23" t="s">
        <v>159</v>
      </c>
    </row>
    <row r="253" spans="1:1" x14ac:dyDescent="0.35">
      <c r="A253" s="24" t="s">
        <v>160</v>
      </c>
    </row>
    <row r="254" spans="1:1" x14ac:dyDescent="0.35">
      <c r="A254" s="24" t="s">
        <v>161</v>
      </c>
    </row>
    <row r="255" spans="1:1" x14ac:dyDescent="0.35">
      <c r="A255" s="24" t="s">
        <v>162</v>
      </c>
    </row>
    <row r="256" spans="1:1" x14ac:dyDescent="0.35">
      <c r="A256" s="24" t="s">
        <v>163</v>
      </c>
    </row>
    <row r="257" spans="1:1" x14ac:dyDescent="0.35">
      <c r="A257" s="24" t="s">
        <v>164</v>
      </c>
    </row>
    <row r="258" spans="1:1" x14ac:dyDescent="0.35">
      <c r="A258" s="24" t="s">
        <v>165</v>
      </c>
    </row>
    <row r="259" spans="1:1" x14ac:dyDescent="0.35">
      <c r="A259" s="24" t="s">
        <v>166</v>
      </c>
    </row>
    <row r="260" spans="1:1" x14ac:dyDescent="0.35">
      <c r="A260" s="24" t="s">
        <v>167</v>
      </c>
    </row>
    <row r="261" spans="1:1" x14ac:dyDescent="0.35">
      <c r="A261" s="24" t="s">
        <v>168</v>
      </c>
    </row>
    <row r="262" spans="1:1" x14ac:dyDescent="0.35">
      <c r="A262" s="25"/>
    </row>
    <row r="263" spans="1:1" x14ac:dyDescent="0.35">
      <c r="A263" s="24" t="s">
        <v>169</v>
      </c>
    </row>
    <row r="264" spans="1:1" x14ac:dyDescent="0.35">
      <c r="A264" s="24" t="s">
        <v>170</v>
      </c>
    </row>
    <row r="265" spans="1:1" x14ac:dyDescent="0.35">
      <c r="A265" s="24" t="s">
        <v>171</v>
      </c>
    </row>
    <row r="266" spans="1:1" x14ac:dyDescent="0.35">
      <c r="A266" s="24" t="s">
        <v>172</v>
      </c>
    </row>
    <row r="267" spans="1:1" x14ac:dyDescent="0.35">
      <c r="A267" s="24" t="s">
        <v>173</v>
      </c>
    </row>
    <row r="268" spans="1:1" x14ac:dyDescent="0.35">
      <c r="A268" s="24" t="s">
        <v>174</v>
      </c>
    </row>
    <row r="269" spans="1:1" x14ac:dyDescent="0.35">
      <c r="A269" s="24" t="s">
        <v>175</v>
      </c>
    </row>
    <row r="270" spans="1:1" x14ac:dyDescent="0.35">
      <c r="A270" s="25"/>
    </row>
    <row r="271" spans="1:1" x14ac:dyDescent="0.35">
      <c r="A271" s="13" t="s">
        <v>176</v>
      </c>
    </row>
    <row r="272" spans="1:1" x14ac:dyDescent="0.35">
      <c r="A272" s="25"/>
    </row>
    <row r="273" spans="1:1" x14ac:dyDescent="0.35">
      <c r="A273" s="24" t="s">
        <v>177</v>
      </c>
    </row>
    <row r="274" spans="1:1" x14ac:dyDescent="0.35">
      <c r="A274" s="24" t="s">
        <v>164</v>
      </c>
    </row>
    <row r="275" spans="1:1" x14ac:dyDescent="0.35">
      <c r="A275" s="25"/>
    </row>
    <row r="276" spans="1:1" x14ac:dyDescent="0.35">
      <c r="A276" s="24" t="s">
        <v>178</v>
      </c>
    </row>
    <row r="277" spans="1:1" x14ac:dyDescent="0.35">
      <c r="A277" s="24" t="s">
        <v>179</v>
      </c>
    </row>
    <row r="278" spans="1:1" x14ac:dyDescent="0.35">
      <c r="A278" s="24" t="s">
        <v>180</v>
      </c>
    </row>
    <row r="279" spans="1:1" x14ac:dyDescent="0.35">
      <c r="A279" s="24" t="s">
        <v>181</v>
      </c>
    </row>
    <row r="280" spans="1:1" x14ac:dyDescent="0.35">
      <c r="A280" s="24" t="s">
        <v>182</v>
      </c>
    </row>
    <row r="281" spans="1:1" x14ac:dyDescent="0.35">
      <c r="A281" s="24" t="s">
        <v>183</v>
      </c>
    </row>
    <row r="282" spans="1:1" x14ac:dyDescent="0.35">
      <c r="A282" s="24" t="s">
        <v>184</v>
      </c>
    </row>
    <row r="283" spans="1:1" x14ac:dyDescent="0.35">
      <c r="A283" s="24" t="s">
        <v>185</v>
      </c>
    </row>
    <row r="284" spans="1:1" x14ac:dyDescent="0.35">
      <c r="A284" s="25"/>
    </row>
    <row r="285" spans="1:1" x14ac:dyDescent="0.35">
      <c r="A285" s="25"/>
    </row>
    <row r="286" spans="1:1" x14ac:dyDescent="0.35">
      <c r="A286" s="13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F565-2E3F-4051-AE1C-1CCB946DA0D6}">
  <dimension ref="A1:G62"/>
  <sheetViews>
    <sheetView topLeftCell="A22" workbookViewId="0">
      <selection activeCell="L36" sqref="L36"/>
    </sheetView>
  </sheetViews>
  <sheetFormatPr defaultRowHeight="14.5" x14ac:dyDescent="0.35"/>
  <cols>
    <col min="1" max="1" width="14" customWidth="1"/>
  </cols>
  <sheetData>
    <row r="1" spans="1:7" x14ac:dyDescent="0.35">
      <c r="B1" t="s">
        <v>54</v>
      </c>
    </row>
    <row r="2" spans="1:7" x14ac:dyDescent="0.35">
      <c r="A2" s="12" t="s">
        <v>1</v>
      </c>
      <c r="B2" t="s">
        <v>23</v>
      </c>
      <c r="C2" t="s">
        <v>24</v>
      </c>
    </row>
    <row r="3" spans="1:7" x14ac:dyDescent="0.35">
      <c r="C3" t="s">
        <v>25</v>
      </c>
      <c r="D3" t="s">
        <v>26</v>
      </c>
      <c r="E3" t="s">
        <v>27</v>
      </c>
      <c r="F3" t="s">
        <v>28</v>
      </c>
      <c r="G3" t="s">
        <v>29</v>
      </c>
    </row>
    <row r="4" spans="1:7" x14ac:dyDescent="0.35">
      <c r="C4" t="s">
        <v>26</v>
      </c>
      <c r="D4" t="s">
        <v>30</v>
      </c>
      <c r="E4" t="s">
        <v>30</v>
      </c>
      <c r="F4" t="s">
        <v>30</v>
      </c>
    </row>
    <row r="5" spans="1:7" x14ac:dyDescent="0.35">
      <c r="B5" t="s">
        <v>60</v>
      </c>
    </row>
    <row r="6" spans="1:7" x14ac:dyDescent="0.35">
      <c r="A6" s="31" t="s">
        <v>0</v>
      </c>
      <c r="C6">
        <v>1</v>
      </c>
      <c r="D6" t="s">
        <v>26</v>
      </c>
      <c r="E6">
        <v>49166.6</v>
      </c>
      <c r="F6">
        <v>12562.6</v>
      </c>
      <c r="G6">
        <v>55272</v>
      </c>
    </row>
    <row r="7" spans="1:7" x14ac:dyDescent="0.35">
      <c r="A7" s="31"/>
      <c r="C7">
        <v>2</v>
      </c>
      <c r="D7" t="s">
        <v>26</v>
      </c>
      <c r="E7">
        <v>49166.6</v>
      </c>
      <c r="F7">
        <v>12562.6</v>
      </c>
      <c r="G7">
        <v>55272</v>
      </c>
    </row>
    <row r="8" spans="1:7" x14ac:dyDescent="0.35">
      <c r="A8" s="31"/>
      <c r="C8">
        <v>3</v>
      </c>
      <c r="D8" t="s">
        <v>26</v>
      </c>
      <c r="E8">
        <v>0</v>
      </c>
      <c r="F8">
        <v>0</v>
      </c>
      <c r="G8">
        <v>1584.05</v>
      </c>
    </row>
    <row r="9" spans="1:7" x14ac:dyDescent="0.35">
      <c r="A9" s="31"/>
      <c r="C9">
        <v>4</v>
      </c>
      <c r="D9" t="s">
        <v>26</v>
      </c>
      <c r="E9">
        <v>49166.6</v>
      </c>
      <c r="F9">
        <v>12562.6</v>
      </c>
      <c r="G9">
        <v>55272</v>
      </c>
    </row>
    <row r="10" spans="1:7" x14ac:dyDescent="0.35">
      <c r="C10">
        <v>5</v>
      </c>
      <c r="D10" t="s">
        <v>26</v>
      </c>
      <c r="E10">
        <v>4917.1499999999996</v>
      </c>
      <c r="F10">
        <v>1256.3800000000001</v>
      </c>
      <c r="G10">
        <v>5527.75</v>
      </c>
    </row>
    <row r="12" spans="1:7" x14ac:dyDescent="0.35">
      <c r="A12" s="12" t="s">
        <v>2</v>
      </c>
      <c r="B12" t="s">
        <v>23</v>
      </c>
      <c r="C12" t="s">
        <v>24</v>
      </c>
    </row>
    <row r="13" spans="1:7" x14ac:dyDescent="0.35">
      <c r="C13" t="s">
        <v>25</v>
      </c>
      <c r="D13" t="s">
        <v>26</v>
      </c>
      <c r="E13" t="s">
        <v>27</v>
      </c>
      <c r="F13" t="s">
        <v>28</v>
      </c>
      <c r="G13" t="s">
        <v>29</v>
      </c>
    </row>
    <row r="14" spans="1:7" x14ac:dyDescent="0.35">
      <c r="C14" t="s">
        <v>26</v>
      </c>
      <c r="D14" t="s">
        <v>30</v>
      </c>
      <c r="E14" t="s">
        <v>30</v>
      </c>
      <c r="F14" t="s">
        <v>30</v>
      </c>
    </row>
    <row r="15" spans="1:7" x14ac:dyDescent="0.35">
      <c r="B15" t="s">
        <v>20</v>
      </c>
    </row>
    <row r="16" spans="1:7" x14ac:dyDescent="0.35">
      <c r="C16">
        <v>1</v>
      </c>
      <c r="D16" t="s">
        <v>26</v>
      </c>
      <c r="E16">
        <v>52987.3</v>
      </c>
      <c r="F16">
        <v>5958.95</v>
      </c>
      <c r="G16">
        <v>64312.3</v>
      </c>
    </row>
    <row r="17" spans="1:7" x14ac:dyDescent="0.35">
      <c r="C17">
        <v>2</v>
      </c>
      <c r="D17" t="s">
        <v>26</v>
      </c>
      <c r="E17">
        <v>52987.3</v>
      </c>
      <c r="F17">
        <v>5958.95</v>
      </c>
      <c r="G17">
        <v>64312.3</v>
      </c>
    </row>
    <row r="18" spans="1:7" x14ac:dyDescent="0.35">
      <c r="C18">
        <v>3</v>
      </c>
      <c r="D18" t="s">
        <v>26</v>
      </c>
      <c r="E18">
        <v>23.633099999999999</v>
      </c>
      <c r="F18">
        <v>0</v>
      </c>
      <c r="G18">
        <v>2282.06</v>
      </c>
    </row>
    <row r="19" spans="1:7" x14ac:dyDescent="0.35">
      <c r="C19">
        <v>4</v>
      </c>
      <c r="D19" t="s">
        <v>26</v>
      </c>
      <c r="E19">
        <v>52987.3</v>
      </c>
      <c r="F19">
        <v>5958.95</v>
      </c>
      <c r="G19">
        <v>64312.3</v>
      </c>
    </row>
    <row r="20" spans="1:7" x14ac:dyDescent="0.35">
      <c r="C20">
        <v>5</v>
      </c>
      <c r="D20" t="s">
        <v>26</v>
      </c>
      <c r="E20">
        <v>7853.29</v>
      </c>
      <c r="F20">
        <v>595.95399999999995</v>
      </c>
      <c r="G20">
        <v>18303.900000000001</v>
      </c>
    </row>
    <row r="22" spans="1:7" x14ac:dyDescent="0.35">
      <c r="A22" s="12" t="s">
        <v>3</v>
      </c>
    </row>
    <row r="23" spans="1:7" x14ac:dyDescent="0.35">
      <c r="C23" t="s">
        <v>25</v>
      </c>
      <c r="D23" t="s">
        <v>26</v>
      </c>
      <c r="E23" t="s">
        <v>27</v>
      </c>
      <c r="F23" t="s">
        <v>28</v>
      </c>
      <c r="G23" t="s">
        <v>29</v>
      </c>
    </row>
    <row r="24" spans="1:7" x14ac:dyDescent="0.35">
      <c r="C24" t="s">
        <v>26</v>
      </c>
      <c r="D24" t="s">
        <v>30</v>
      </c>
      <c r="E24" t="s">
        <v>30</v>
      </c>
      <c r="F24" t="s">
        <v>30</v>
      </c>
    </row>
    <row r="25" spans="1:7" x14ac:dyDescent="0.35">
      <c r="B25" t="s">
        <v>7</v>
      </c>
    </row>
    <row r="26" spans="1:7" x14ac:dyDescent="0.35">
      <c r="C26">
        <v>1</v>
      </c>
      <c r="D26" t="s">
        <v>26</v>
      </c>
      <c r="E26">
        <v>70000</v>
      </c>
      <c r="F26">
        <v>70000</v>
      </c>
      <c r="G26">
        <v>70000</v>
      </c>
    </row>
    <row r="27" spans="1:7" x14ac:dyDescent="0.35">
      <c r="C27">
        <v>2</v>
      </c>
      <c r="D27" t="s">
        <v>26</v>
      </c>
      <c r="E27">
        <v>70000</v>
      </c>
      <c r="F27">
        <v>70000</v>
      </c>
      <c r="G27">
        <v>70000</v>
      </c>
    </row>
    <row r="28" spans="1:7" x14ac:dyDescent="0.35">
      <c r="C28">
        <v>3</v>
      </c>
      <c r="D28" t="s">
        <v>26</v>
      </c>
      <c r="E28">
        <v>70000</v>
      </c>
      <c r="F28">
        <v>70000</v>
      </c>
      <c r="G28">
        <v>70000</v>
      </c>
    </row>
    <row r="29" spans="1:7" x14ac:dyDescent="0.35">
      <c r="C29">
        <v>4</v>
      </c>
      <c r="D29" t="s">
        <v>26</v>
      </c>
      <c r="E29">
        <v>70000</v>
      </c>
      <c r="F29">
        <v>70000</v>
      </c>
      <c r="G29">
        <v>70000</v>
      </c>
    </row>
    <row r="30" spans="1:7" x14ac:dyDescent="0.35">
      <c r="C30">
        <v>5</v>
      </c>
      <c r="D30" t="s">
        <v>26</v>
      </c>
      <c r="E30">
        <v>70000</v>
      </c>
      <c r="F30">
        <v>70000</v>
      </c>
      <c r="G30">
        <v>70000</v>
      </c>
    </row>
    <row r="33" spans="1:7" x14ac:dyDescent="0.35">
      <c r="A33" s="12" t="s">
        <v>4</v>
      </c>
    </row>
    <row r="34" spans="1:7" x14ac:dyDescent="0.35">
      <c r="C34" t="s">
        <v>25</v>
      </c>
      <c r="D34" t="s">
        <v>26</v>
      </c>
      <c r="E34" t="s">
        <v>27</v>
      </c>
      <c r="F34" t="s">
        <v>28</v>
      </c>
      <c r="G34" t="s">
        <v>29</v>
      </c>
    </row>
    <row r="35" spans="1:7" x14ac:dyDescent="0.35">
      <c r="C35" t="s">
        <v>26</v>
      </c>
      <c r="D35" t="s">
        <v>30</v>
      </c>
      <c r="E35" t="s">
        <v>30</v>
      </c>
      <c r="F35" t="s">
        <v>30</v>
      </c>
    </row>
    <row r="36" spans="1:7" x14ac:dyDescent="0.35">
      <c r="B36" t="s">
        <v>7</v>
      </c>
    </row>
    <row r="37" spans="1:7" x14ac:dyDescent="0.35">
      <c r="C37">
        <v>1</v>
      </c>
      <c r="D37" t="s">
        <v>26</v>
      </c>
      <c r="E37">
        <v>63931.199999999997</v>
      </c>
      <c r="F37">
        <v>54582.3</v>
      </c>
      <c r="G37">
        <v>65011.4</v>
      </c>
    </row>
    <row r="38" spans="1:7" x14ac:dyDescent="0.35">
      <c r="C38">
        <v>2</v>
      </c>
      <c r="D38" t="s">
        <v>26</v>
      </c>
      <c r="E38">
        <v>63931.199999999997</v>
      </c>
      <c r="F38">
        <v>54582.3</v>
      </c>
      <c r="G38">
        <v>65011.4</v>
      </c>
    </row>
    <row r="39" spans="1:7" x14ac:dyDescent="0.35">
      <c r="C39">
        <v>3</v>
      </c>
      <c r="D39" t="s">
        <v>26</v>
      </c>
      <c r="E39">
        <v>47686.1</v>
      </c>
      <c r="F39">
        <v>49184.1</v>
      </c>
      <c r="G39">
        <v>48236.1</v>
      </c>
    </row>
    <row r="40" spans="1:7" x14ac:dyDescent="0.35">
      <c r="C40">
        <v>4</v>
      </c>
      <c r="D40" t="s">
        <v>26</v>
      </c>
      <c r="E40">
        <v>63931.199999999997</v>
      </c>
      <c r="F40">
        <v>54582.3</v>
      </c>
      <c r="G40">
        <v>65011.4</v>
      </c>
    </row>
    <row r="41" spans="1:7" x14ac:dyDescent="0.35">
      <c r="C41">
        <v>5</v>
      </c>
      <c r="D41" t="s">
        <v>26</v>
      </c>
      <c r="E41">
        <v>49310.8</v>
      </c>
      <c r="F41">
        <v>49724</v>
      </c>
      <c r="G41">
        <v>49812.6</v>
      </c>
    </row>
    <row r="43" spans="1:7" x14ac:dyDescent="0.35">
      <c r="A43" s="12" t="s">
        <v>5</v>
      </c>
    </row>
    <row r="44" spans="1:7" x14ac:dyDescent="0.35">
      <c r="A44" t="s">
        <v>24</v>
      </c>
    </row>
    <row r="45" spans="1:7" x14ac:dyDescent="0.35">
      <c r="C45" t="s">
        <v>25</v>
      </c>
      <c r="D45" t="s">
        <v>26</v>
      </c>
      <c r="E45" t="s">
        <v>27</v>
      </c>
      <c r="F45" t="s">
        <v>28</v>
      </c>
      <c r="G45" t="s">
        <v>29</v>
      </c>
    </row>
    <row r="46" spans="1:7" x14ac:dyDescent="0.35">
      <c r="C46" t="s">
        <v>26</v>
      </c>
      <c r="D46" t="s">
        <v>30</v>
      </c>
      <c r="E46" t="s">
        <v>30</v>
      </c>
      <c r="F46" t="s">
        <v>30</v>
      </c>
    </row>
    <row r="47" spans="1:7" x14ac:dyDescent="0.35">
      <c r="B47" t="s">
        <v>7</v>
      </c>
    </row>
    <row r="48" spans="1:7" x14ac:dyDescent="0.35">
      <c r="C48">
        <v>1</v>
      </c>
      <c r="D48" t="s">
        <v>26</v>
      </c>
      <c r="E48">
        <v>70000</v>
      </c>
      <c r="F48">
        <v>70000</v>
      </c>
      <c r="G48">
        <v>70000</v>
      </c>
    </row>
    <row r="49" spans="1:7" x14ac:dyDescent="0.35">
      <c r="C49">
        <v>2</v>
      </c>
      <c r="D49" t="s">
        <v>26</v>
      </c>
      <c r="E49">
        <v>70000</v>
      </c>
      <c r="F49">
        <v>70000</v>
      </c>
      <c r="G49">
        <v>70000</v>
      </c>
    </row>
    <row r="50" spans="1:7" x14ac:dyDescent="0.35">
      <c r="C50">
        <v>3</v>
      </c>
      <c r="D50" t="s">
        <v>26</v>
      </c>
      <c r="E50">
        <v>70000</v>
      </c>
      <c r="F50">
        <v>70000</v>
      </c>
      <c r="G50">
        <v>70000</v>
      </c>
    </row>
    <row r="51" spans="1:7" x14ac:dyDescent="0.35">
      <c r="C51">
        <v>4</v>
      </c>
      <c r="D51" t="s">
        <v>26</v>
      </c>
      <c r="E51">
        <v>70000</v>
      </c>
      <c r="F51">
        <v>70000</v>
      </c>
      <c r="G51">
        <v>70000</v>
      </c>
    </row>
    <row r="52" spans="1:7" x14ac:dyDescent="0.35">
      <c r="C52">
        <v>5</v>
      </c>
      <c r="D52" t="s">
        <v>26</v>
      </c>
      <c r="E52">
        <v>70000</v>
      </c>
      <c r="F52">
        <v>70000</v>
      </c>
      <c r="G52">
        <v>70000</v>
      </c>
    </row>
    <row r="55" spans="1:7" x14ac:dyDescent="0.35">
      <c r="A55" s="14" t="s">
        <v>6</v>
      </c>
      <c r="C55" t="s">
        <v>25</v>
      </c>
      <c r="D55" t="s">
        <v>26</v>
      </c>
      <c r="E55" t="s">
        <v>27</v>
      </c>
      <c r="F55" t="s">
        <v>28</v>
      </c>
      <c r="G55" t="s">
        <v>29</v>
      </c>
    </row>
    <row r="56" spans="1:7" x14ac:dyDescent="0.35">
      <c r="C56" t="s">
        <v>26</v>
      </c>
      <c r="D56" t="s">
        <v>30</v>
      </c>
      <c r="E56" t="s">
        <v>30</v>
      </c>
      <c r="F56" t="s">
        <v>30</v>
      </c>
    </row>
    <row r="57" spans="1:7" x14ac:dyDescent="0.35">
      <c r="B57" t="s">
        <v>7</v>
      </c>
    </row>
    <row r="58" spans="1:7" x14ac:dyDescent="0.35">
      <c r="C58">
        <v>1</v>
      </c>
      <c r="D58" t="s">
        <v>26</v>
      </c>
      <c r="E58">
        <v>70000</v>
      </c>
      <c r="F58">
        <v>70000</v>
      </c>
      <c r="G58">
        <v>70000</v>
      </c>
    </row>
    <row r="59" spans="1:7" x14ac:dyDescent="0.35">
      <c r="C59">
        <v>2</v>
      </c>
      <c r="D59" t="s">
        <v>26</v>
      </c>
      <c r="E59">
        <v>70000</v>
      </c>
      <c r="F59">
        <v>70000</v>
      </c>
      <c r="G59">
        <v>70000</v>
      </c>
    </row>
    <row r="60" spans="1:7" x14ac:dyDescent="0.35">
      <c r="C60">
        <v>3</v>
      </c>
      <c r="D60" t="s">
        <v>26</v>
      </c>
      <c r="E60">
        <v>70000</v>
      </c>
      <c r="F60">
        <v>70000</v>
      </c>
      <c r="G60">
        <v>70000</v>
      </c>
    </row>
    <row r="61" spans="1:7" x14ac:dyDescent="0.35">
      <c r="C61">
        <v>4</v>
      </c>
      <c r="D61" t="s">
        <v>26</v>
      </c>
      <c r="E61">
        <v>70000</v>
      </c>
      <c r="F61">
        <v>70000</v>
      </c>
      <c r="G61">
        <v>70000</v>
      </c>
    </row>
    <row r="62" spans="1:7" x14ac:dyDescent="0.35">
      <c r="C62">
        <v>5</v>
      </c>
      <c r="D62" t="s">
        <v>26</v>
      </c>
      <c r="E62">
        <v>70000</v>
      </c>
      <c r="F62">
        <v>70000</v>
      </c>
      <c r="G62">
        <v>70000</v>
      </c>
    </row>
  </sheetData>
  <mergeCells count="1"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093-846C-4F3B-8C78-08E6801904D8}">
  <dimension ref="A1:Z39"/>
  <sheetViews>
    <sheetView tabSelected="1" topLeftCell="B11" workbookViewId="0">
      <selection activeCell="O25" sqref="O25"/>
    </sheetView>
  </sheetViews>
  <sheetFormatPr defaultRowHeight="14.5" x14ac:dyDescent="0.35"/>
  <cols>
    <col min="2" max="2" width="5.1796875" customWidth="1"/>
    <col min="3" max="3" width="3.1796875" customWidth="1"/>
    <col min="4" max="4" width="17.81640625" customWidth="1"/>
    <col min="5" max="5" width="3.81640625" customWidth="1"/>
    <col min="6" max="7" width="13" customWidth="1"/>
    <col min="9" max="9" width="17.81640625" customWidth="1"/>
    <col min="13" max="13" width="10.54296875" customWidth="1"/>
    <col min="18" max="18" width="16.54296875" customWidth="1"/>
    <col min="19" max="19" width="1.54296875" customWidth="1"/>
    <col min="20" max="20" width="27.26953125" customWidth="1"/>
  </cols>
  <sheetData>
    <row r="1" spans="1:18" x14ac:dyDescent="0.35">
      <c r="A1" s="32" t="s">
        <v>12</v>
      </c>
      <c r="B1" s="32"/>
      <c r="C1" s="32"/>
      <c r="D1" s="32"/>
      <c r="E1" s="32"/>
      <c r="F1" s="32"/>
      <c r="G1" s="1"/>
    </row>
    <row r="2" spans="1:18" x14ac:dyDescent="0.35">
      <c r="A2" s="33" t="s">
        <v>1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</row>
    <row r="3" spans="1:18" x14ac:dyDescent="0.35">
      <c r="A3" s="33"/>
      <c r="B3" s="2"/>
      <c r="C3" s="2"/>
      <c r="D3" t="s">
        <v>13</v>
      </c>
      <c r="F3" t="s">
        <v>14</v>
      </c>
      <c r="I3">
        <v>4680.1466260993302</v>
      </c>
      <c r="J3">
        <v>2299.1323853794802</v>
      </c>
      <c r="K3">
        <v>6979.2790114804202</v>
      </c>
      <c r="L3">
        <v>6979.2790114789004</v>
      </c>
    </row>
    <row r="4" spans="1:18" x14ac:dyDescent="0.35">
      <c r="A4" s="33"/>
      <c r="B4" s="2" t="s">
        <v>15</v>
      </c>
      <c r="C4" s="2"/>
      <c r="D4">
        <v>9761.5647784119392</v>
      </c>
      <c r="F4">
        <f>SUM(I3:I7)</f>
        <v>7610.0661147260435</v>
      </c>
      <c r="G4">
        <f>SUM(D4:D5)</f>
        <v>12316.804872072869</v>
      </c>
      <c r="I4">
        <v>797.98620156972299</v>
      </c>
      <c r="J4">
        <v>712.78922198784801</v>
      </c>
      <c r="K4">
        <v>1510.7754235570901</v>
      </c>
      <c r="L4">
        <v>1510.77542355693</v>
      </c>
    </row>
    <row r="5" spans="1:18" x14ac:dyDescent="0.35">
      <c r="A5" s="33"/>
      <c r="B5" s="2" t="s">
        <v>16</v>
      </c>
      <c r="C5" s="2"/>
      <c r="D5">
        <v>2555.2400936609301</v>
      </c>
      <c r="F5">
        <f>SUM(J3:J7)</f>
        <v>4534.4974837147183</v>
      </c>
      <c r="G5">
        <f>SUM(F4:F5)</f>
        <v>12144.563598440762</v>
      </c>
      <c r="I5">
        <v>0</v>
      </c>
      <c r="J5">
        <v>0</v>
      </c>
      <c r="K5">
        <v>0</v>
      </c>
      <c r="L5">
        <v>0</v>
      </c>
    </row>
    <row r="6" spans="1:18" x14ac:dyDescent="0.35">
      <c r="A6" s="33"/>
      <c r="B6" s="2" t="s">
        <v>17</v>
      </c>
      <c r="C6" s="2"/>
      <c r="D6">
        <v>12309.1592123912</v>
      </c>
      <c r="F6">
        <f>SUM(K3:K7)</f>
        <v>12144.563598405399</v>
      </c>
      <c r="I6">
        <v>2131.9332870569901</v>
      </c>
      <c r="J6">
        <v>1522.57587634739</v>
      </c>
      <c r="K6">
        <v>3654.5091633678899</v>
      </c>
      <c r="L6">
        <v>5189.5207829431502</v>
      </c>
    </row>
    <row r="7" spans="1:18" x14ac:dyDescent="0.35">
      <c r="A7" s="33"/>
      <c r="B7" s="2" t="s">
        <v>18</v>
      </c>
      <c r="C7" s="2"/>
      <c r="D7">
        <v>12310.7404155923</v>
      </c>
      <c r="F7">
        <f>SUM(L3:L7)</f>
        <v>13679.575217978982</v>
      </c>
      <c r="I7">
        <v>0</v>
      </c>
      <c r="J7">
        <v>0</v>
      </c>
      <c r="K7">
        <v>0</v>
      </c>
      <c r="L7">
        <v>0</v>
      </c>
    </row>
    <row r="8" spans="1:18" x14ac:dyDescent="0.35">
      <c r="A8" s="6"/>
      <c r="B8" s="2"/>
      <c r="C8" s="2"/>
      <c r="D8" s="4">
        <f>SUM(D4:D7)</f>
        <v>36936.704500056367</v>
      </c>
      <c r="E8" s="4"/>
      <c r="F8" s="4">
        <f>SUM(F4:F7)</f>
        <v>37968.702414825137</v>
      </c>
      <c r="G8" s="4"/>
    </row>
    <row r="9" spans="1:18" x14ac:dyDescent="0.35">
      <c r="A9" s="33" t="s">
        <v>19</v>
      </c>
      <c r="B9" s="2"/>
      <c r="C9" s="2"/>
      <c r="H9" t="s">
        <v>55</v>
      </c>
      <c r="I9" t="s">
        <v>56</v>
      </c>
      <c r="J9" t="s">
        <v>57</v>
      </c>
      <c r="K9" t="s">
        <v>58</v>
      </c>
      <c r="L9" t="s">
        <v>59</v>
      </c>
    </row>
    <row r="10" spans="1:18" x14ac:dyDescent="0.35">
      <c r="A10" s="33"/>
      <c r="B10" s="2" t="s">
        <v>15</v>
      </c>
      <c r="C10" s="2"/>
      <c r="D10">
        <v>5045.7150614472403</v>
      </c>
      <c r="F10">
        <f>SUM(I10:I14)</f>
        <v>5792.6706609048915</v>
      </c>
      <c r="G10">
        <f>SUM(D10:D11)</f>
        <v>8889.5003657082198</v>
      </c>
      <c r="I10">
        <v>4775.3114257994903</v>
      </c>
      <c r="J10">
        <v>2085.3524319396101</v>
      </c>
      <c r="K10">
        <v>6860.6638577420299</v>
      </c>
      <c r="L10">
        <v>7203.9742631380104</v>
      </c>
    </row>
    <row r="11" spans="1:18" x14ac:dyDescent="0.35">
      <c r="A11" s="33"/>
      <c r="B11" s="2" t="s">
        <v>16</v>
      </c>
      <c r="C11" s="2"/>
      <c r="D11">
        <v>3843.78530426098</v>
      </c>
      <c r="F11">
        <f>SUM(J10:J14)</f>
        <v>2984.6742657510622</v>
      </c>
      <c r="G11">
        <f>SUM(F10:F11)</f>
        <v>8777.3449266559546</v>
      </c>
      <c r="I11">
        <v>767.89091409896798</v>
      </c>
      <c r="J11">
        <v>660.23961893089097</v>
      </c>
      <c r="K11">
        <v>1428.1305330302</v>
      </c>
      <c r="L11">
        <v>1646.9433223600499</v>
      </c>
    </row>
    <row r="12" spans="1:18" x14ac:dyDescent="0.35">
      <c r="A12" s="33"/>
      <c r="B12" s="2" t="s">
        <v>17</v>
      </c>
      <c r="C12" s="2"/>
      <c r="D12">
        <v>8879.3045061999601</v>
      </c>
      <c r="F12">
        <f>SUM(K10:K14)</f>
        <v>8777.3449266546359</v>
      </c>
      <c r="I12">
        <v>0</v>
      </c>
      <c r="J12">
        <v>0</v>
      </c>
      <c r="K12">
        <v>0</v>
      </c>
      <c r="L12">
        <v>0</v>
      </c>
    </row>
    <row r="13" spans="1:18" x14ac:dyDescent="0.35">
      <c r="A13" s="33"/>
      <c r="B13" s="2" t="s">
        <v>18</v>
      </c>
      <c r="C13" s="2"/>
      <c r="D13">
        <v>8883.0331350172892</v>
      </c>
      <c r="F13">
        <f>SUM(L10:L14)</f>
        <v>10880.810525544641</v>
      </c>
      <c r="I13">
        <v>249.468321006433</v>
      </c>
      <c r="J13">
        <v>239.082214880561</v>
      </c>
      <c r="K13">
        <v>488.55053588240702</v>
      </c>
      <c r="L13">
        <v>2029.89294004658</v>
      </c>
    </row>
    <row r="14" spans="1:18" x14ac:dyDescent="0.35">
      <c r="A14" s="33"/>
      <c r="D14" s="4">
        <f>SUM(D10:D13)</f>
        <v>26651.838006925467</v>
      </c>
      <c r="E14" s="4"/>
      <c r="F14" s="4">
        <f>SUM(F10:F13)</f>
        <v>28435.500378855235</v>
      </c>
      <c r="G14" s="4"/>
      <c r="I14">
        <v>0</v>
      </c>
      <c r="J14">
        <v>0</v>
      </c>
      <c r="K14">
        <v>0</v>
      </c>
      <c r="L14">
        <v>0</v>
      </c>
    </row>
    <row r="15" spans="1:18" ht="15" thickBot="1" x14ac:dyDescent="0.4">
      <c r="A15" s="33" t="s">
        <v>21</v>
      </c>
      <c r="I15" t="s">
        <v>22</v>
      </c>
      <c r="J15" s="4" t="s">
        <v>15</v>
      </c>
      <c r="K15" s="4" t="s">
        <v>16</v>
      </c>
      <c r="L15" s="4" t="s">
        <v>17</v>
      </c>
      <c r="M15" s="4" t="s">
        <v>18</v>
      </c>
    </row>
    <row r="16" spans="1:18" x14ac:dyDescent="0.35">
      <c r="A16" s="33"/>
      <c r="B16" s="2" t="s">
        <v>15</v>
      </c>
      <c r="C16" s="2"/>
      <c r="D16">
        <v>10729.878988445</v>
      </c>
      <c r="F16">
        <v>10343.200000000001</v>
      </c>
      <c r="G16">
        <f>SUM(D16:D17)</f>
        <v>17629.880958736179</v>
      </c>
      <c r="I16" s="18" t="s">
        <v>8</v>
      </c>
      <c r="J16" s="19">
        <v>11723.9</v>
      </c>
      <c r="K16" s="19">
        <v>5024.51</v>
      </c>
      <c r="L16" s="19">
        <v>14695</v>
      </c>
      <c r="M16" s="19">
        <v>16311.4</v>
      </c>
      <c r="N16" s="30">
        <f>SUM(J16:M16)</f>
        <v>47754.81</v>
      </c>
      <c r="Q16" s="34" t="s">
        <v>51</v>
      </c>
      <c r="R16" s="35"/>
    </row>
    <row r="17" spans="1:26" x14ac:dyDescent="0.35">
      <c r="A17" s="33"/>
      <c r="B17" s="2" t="s">
        <v>16</v>
      </c>
      <c r="C17" s="2"/>
      <c r="D17">
        <v>6900.0019702911804</v>
      </c>
      <c r="F17">
        <v>7286.66</v>
      </c>
      <c r="G17">
        <f>SUM(F16:F17)</f>
        <v>17629.86</v>
      </c>
      <c r="I17" s="20" t="s">
        <v>9</v>
      </c>
      <c r="J17">
        <v>12340.9</v>
      </c>
      <c r="K17">
        <v>5288.96</v>
      </c>
      <c r="L17">
        <v>13921.6</v>
      </c>
      <c r="M17">
        <v>15452.9</v>
      </c>
      <c r="N17" s="7">
        <f t="shared" ref="N17:N19" si="0">SUM(J17:M17)</f>
        <v>47004.36</v>
      </c>
      <c r="Q17" s="9" t="s">
        <v>47</v>
      </c>
      <c r="R17" s="7">
        <v>17629.87</v>
      </c>
    </row>
    <row r="18" spans="1:26" x14ac:dyDescent="0.35">
      <c r="A18" s="33"/>
      <c r="B18" s="2" t="s">
        <v>17</v>
      </c>
      <c r="C18" s="2"/>
      <c r="D18">
        <v>15468.447801242401</v>
      </c>
      <c r="F18">
        <v>15468.5</v>
      </c>
      <c r="I18" s="20" t="s">
        <v>10</v>
      </c>
      <c r="J18">
        <v>11106.8</v>
      </c>
      <c r="K18">
        <v>4760.0600000000004</v>
      </c>
      <c r="L18">
        <v>15468.5</v>
      </c>
      <c r="M18">
        <v>15452.9</v>
      </c>
      <c r="N18" s="7">
        <f t="shared" si="0"/>
        <v>46788.26</v>
      </c>
      <c r="Q18" s="9" t="s">
        <v>48</v>
      </c>
      <c r="R18" s="7">
        <v>15468.46</v>
      </c>
    </row>
    <row r="19" spans="1:26" ht="15" thickBot="1" x14ac:dyDescent="0.4">
      <c r="A19" s="33"/>
      <c r="B19" s="2" t="s">
        <v>18</v>
      </c>
      <c r="C19" s="2"/>
      <c r="D19">
        <v>17169.925006891699</v>
      </c>
      <c r="F19">
        <v>17169.900000000001</v>
      </c>
      <c r="I19" s="21" t="s">
        <v>11</v>
      </c>
      <c r="J19" s="22">
        <v>11106.8</v>
      </c>
      <c r="K19" s="22">
        <v>4760.0600000000004</v>
      </c>
      <c r="L19" s="22">
        <v>13921.6</v>
      </c>
      <c r="M19" s="22">
        <v>17169.900000000001</v>
      </c>
      <c r="N19" s="8">
        <f t="shared" si="0"/>
        <v>46958.36</v>
      </c>
      <c r="Q19" s="10" t="s">
        <v>49</v>
      </c>
      <c r="R19" s="8">
        <v>17169.919999999998</v>
      </c>
    </row>
    <row r="20" spans="1:26" x14ac:dyDescent="0.35">
      <c r="A20" s="33"/>
      <c r="D20" s="4">
        <f>SUM(D16:D19)</f>
        <v>50268.253766870286</v>
      </c>
      <c r="E20" s="4"/>
      <c r="F20" s="4">
        <f>SUM(F16:F19)</f>
        <v>50268.26</v>
      </c>
      <c r="G20" s="4"/>
      <c r="R20">
        <f>SUM(R17:R19)</f>
        <v>50268.25</v>
      </c>
    </row>
    <row r="21" spans="1:26" ht="15" thickBot="1" x14ac:dyDescent="0.4">
      <c r="A21" s="33" t="s">
        <v>6</v>
      </c>
      <c r="O21">
        <v>10115.780580721799</v>
      </c>
    </row>
    <row r="22" spans="1:26" x14ac:dyDescent="0.35">
      <c r="A22" s="33"/>
      <c r="B22" s="2" t="s">
        <v>15</v>
      </c>
      <c r="C22" s="2"/>
      <c r="D22">
        <v>10530.1769201031</v>
      </c>
      <c r="F22" s="11">
        <v>9725.11</v>
      </c>
      <c r="G22">
        <f>SUM(D22:D23)</f>
        <v>17253.212571429052</v>
      </c>
      <c r="I22" s="4" t="s">
        <v>8</v>
      </c>
      <c r="J22" s="27">
        <v>10897.6</v>
      </c>
      <c r="K22" s="27">
        <v>4670.38</v>
      </c>
      <c r="L22" s="27">
        <v>12913.7</v>
      </c>
      <c r="M22" s="27">
        <v>16885.5</v>
      </c>
      <c r="N22" s="27">
        <f>SUM(J22:M22)</f>
        <v>45367.18</v>
      </c>
      <c r="O22">
        <v>6443.9901154583204</v>
      </c>
      <c r="Q22" s="34" t="s">
        <v>50</v>
      </c>
      <c r="R22" s="35"/>
      <c r="S22" s="1"/>
      <c r="T22" t="s">
        <v>61</v>
      </c>
    </row>
    <row r="23" spans="1:26" x14ac:dyDescent="0.35">
      <c r="A23" s="33"/>
      <c r="B23" s="2" t="s">
        <v>16</v>
      </c>
      <c r="C23" s="2"/>
      <c r="D23">
        <v>6723.0356513259503</v>
      </c>
      <c r="F23" s="11">
        <v>6426.55</v>
      </c>
      <c r="G23">
        <f>SUM(F22:F23)</f>
        <v>16151.66</v>
      </c>
      <c r="I23" s="4" t="s">
        <v>9</v>
      </c>
      <c r="J23" s="27">
        <v>11471.1</v>
      </c>
      <c r="K23" s="27">
        <v>4916.1899999999996</v>
      </c>
      <c r="L23" s="27">
        <v>12234</v>
      </c>
      <c r="M23" s="27">
        <v>15996.7</v>
      </c>
      <c r="N23" s="27">
        <f t="shared" ref="N23:N25" si="1">SUM(J23:M23)</f>
        <v>44617.990000000005</v>
      </c>
      <c r="O23">
        <v>13997.151652852201</v>
      </c>
      <c r="P23" s="5"/>
      <c r="Q23" s="9" t="s">
        <v>47</v>
      </c>
      <c r="R23" s="15">
        <v>16387.310000000001</v>
      </c>
      <c r="Z23" s="17"/>
    </row>
    <row r="24" spans="1:26" x14ac:dyDescent="0.35">
      <c r="A24" s="33"/>
      <c r="B24" s="2" t="s">
        <v>17</v>
      </c>
      <c r="C24" s="2"/>
      <c r="D24">
        <v>14001.188183836801</v>
      </c>
      <c r="F24" s="11">
        <v>14710</v>
      </c>
      <c r="G24" s="11"/>
      <c r="I24" s="4" t="s">
        <v>10</v>
      </c>
      <c r="J24" s="27">
        <v>10324</v>
      </c>
      <c r="K24" s="27">
        <v>4424.57</v>
      </c>
      <c r="L24" s="27">
        <v>13593.4</v>
      </c>
      <c r="M24" s="27">
        <v>15996.7</v>
      </c>
      <c r="N24" s="27">
        <f t="shared" si="1"/>
        <v>44338.67</v>
      </c>
      <c r="O24">
        <v>17197.844717036998</v>
      </c>
      <c r="P24" s="3"/>
      <c r="Q24" s="9" t="s">
        <v>48</v>
      </c>
      <c r="R24" s="15">
        <v>13593.37</v>
      </c>
    </row>
    <row r="25" spans="1:26" ht="15" thickBot="1" x14ac:dyDescent="0.4">
      <c r="A25" s="33"/>
      <c r="B25" s="2" t="s">
        <v>18</v>
      </c>
      <c r="C25" s="2"/>
      <c r="D25">
        <v>16500.402948569499</v>
      </c>
      <c r="F25" s="11">
        <v>16893.2</v>
      </c>
      <c r="G25" s="11"/>
      <c r="I25" s="4" t="s">
        <v>11</v>
      </c>
      <c r="J25" s="27">
        <v>10324</v>
      </c>
      <c r="K25" s="27">
        <v>4424.57</v>
      </c>
      <c r="L25" s="27">
        <v>12234</v>
      </c>
      <c r="M25" s="27">
        <v>17774.2</v>
      </c>
      <c r="N25" s="27">
        <f t="shared" si="1"/>
        <v>44756.770000000004</v>
      </c>
      <c r="O25">
        <f>SUM(O21:O24)</f>
        <v>47754.767066069318</v>
      </c>
      <c r="P25" s="3"/>
      <c r="Q25" s="10" t="s">
        <v>49</v>
      </c>
      <c r="R25" s="16">
        <v>17774.16</v>
      </c>
    </row>
    <row r="26" spans="1:26" x14ac:dyDescent="0.35">
      <c r="A26" s="33"/>
      <c r="D26" s="4">
        <f>SUM(D22:D25)</f>
        <v>47754.80370383535</v>
      </c>
      <c r="E26" s="4"/>
      <c r="F26" s="4">
        <f>SUM(F22:F25)</f>
        <v>47754.86</v>
      </c>
      <c r="G26" s="4"/>
      <c r="R26">
        <f>SUM(R23:R25)</f>
        <v>47754.84</v>
      </c>
    </row>
    <row r="28" spans="1:26" x14ac:dyDescent="0.35">
      <c r="A28" s="33" t="s">
        <v>5</v>
      </c>
    </row>
    <row r="29" spans="1:26" x14ac:dyDescent="0.35">
      <c r="A29" s="33"/>
      <c r="B29" s="2" t="s">
        <v>15</v>
      </c>
      <c r="C29" s="2"/>
      <c r="D29">
        <v>10680.8639279831</v>
      </c>
      <c r="F29">
        <v>10374.1</v>
      </c>
      <c r="G29">
        <f>SUM(D29:D30)</f>
        <v>17568.874282266152</v>
      </c>
      <c r="I29" s="4" t="s">
        <v>8</v>
      </c>
      <c r="J29" s="27">
        <v>11723.9</v>
      </c>
      <c r="K29" s="27">
        <v>5024.51</v>
      </c>
      <c r="L29" s="27">
        <v>14695</v>
      </c>
      <c r="M29" s="27">
        <v>16311.4</v>
      </c>
      <c r="N29" s="27">
        <f>SUM(J29:M29)</f>
        <v>47754.81</v>
      </c>
      <c r="T29" t="s">
        <v>223</v>
      </c>
    </row>
    <row r="30" spans="1:26" x14ac:dyDescent="0.35">
      <c r="A30" s="33"/>
      <c r="B30" s="2" t="s">
        <v>16</v>
      </c>
      <c r="C30" s="2"/>
      <c r="D30">
        <v>6888.0103542830502</v>
      </c>
      <c r="F30">
        <v>7307.9</v>
      </c>
      <c r="G30">
        <f>SUM(F29:F30)</f>
        <v>17682</v>
      </c>
      <c r="I30" s="4" t="s">
        <v>9</v>
      </c>
      <c r="J30" s="27">
        <v>12340.9</v>
      </c>
      <c r="K30" s="27">
        <v>5288.96</v>
      </c>
      <c r="L30" s="27">
        <v>13921.6</v>
      </c>
      <c r="M30" s="27">
        <v>15452.9</v>
      </c>
      <c r="N30" s="27">
        <f t="shared" ref="N30:N32" si="2">SUM(J30:M30)</f>
        <v>47004.36</v>
      </c>
    </row>
    <row r="31" spans="1:26" x14ac:dyDescent="0.35">
      <c r="A31" s="33"/>
      <c r="B31" s="2" t="s">
        <v>17</v>
      </c>
      <c r="C31" s="2"/>
      <c r="D31">
        <v>15829.8984162914</v>
      </c>
      <c r="F31">
        <v>15263.2</v>
      </c>
      <c r="I31" s="4" t="s">
        <v>10</v>
      </c>
      <c r="J31" s="27">
        <v>11106.8</v>
      </c>
      <c r="K31" s="27">
        <v>4760.0600000000004</v>
      </c>
      <c r="L31" s="27">
        <v>15468.5</v>
      </c>
      <c r="M31" s="27">
        <v>15452.9</v>
      </c>
      <c r="N31" s="27">
        <f t="shared" si="2"/>
        <v>46788.26</v>
      </c>
    </row>
    <row r="32" spans="1:26" x14ac:dyDescent="0.35">
      <c r="A32" s="33"/>
      <c r="B32" s="2" t="s">
        <v>18</v>
      </c>
      <c r="C32" s="2"/>
      <c r="D32">
        <v>16869.5675970087</v>
      </c>
      <c r="F32">
        <v>17323</v>
      </c>
      <c r="I32" s="4" t="s">
        <v>11</v>
      </c>
      <c r="J32" s="27">
        <v>11106.8</v>
      </c>
      <c r="K32" s="27">
        <v>4760.0600000000004</v>
      </c>
      <c r="L32" s="27">
        <v>13921.6</v>
      </c>
      <c r="M32" s="27">
        <v>17169.900000000001</v>
      </c>
      <c r="N32" s="27">
        <f t="shared" si="2"/>
        <v>46958.36</v>
      </c>
    </row>
    <row r="33" spans="1:20" x14ac:dyDescent="0.35">
      <c r="A33" s="6"/>
      <c r="B33" s="2"/>
      <c r="C33" s="2"/>
      <c r="D33" s="4">
        <f>SUM(D29:D32)</f>
        <v>50268.340295566246</v>
      </c>
      <c r="E33" s="4"/>
      <c r="F33" s="4">
        <f t="shared" ref="F33" si="3">SUM(F29:F32)</f>
        <v>50268.2</v>
      </c>
      <c r="G33" s="4"/>
    </row>
    <row r="34" spans="1:20" ht="15" thickBot="1" x14ac:dyDescent="0.4">
      <c r="A34" s="33" t="s">
        <v>4</v>
      </c>
      <c r="T34" t="s">
        <v>53</v>
      </c>
    </row>
    <row r="35" spans="1:20" x14ac:dyDescent="0.35">
      <c r="A35" s="33"/>
      <c r="B35" s="2" t="s">
        <v>15</v>
      </c>
      <c r="D35">
        <v>10156.282044159499</v>
      </c>
      <c r="F35">
        <v>8610.94</v>
      </c>
      <c r="G35">
        <f>SUM(D35:D36)</f>
        <v>11941.37041126493</v>
      </c>
      <c r="I35" s="4" t="s">
        <v>8</v>
      </c>
      <c r="J35">
        <v>43246.400000000001</v>
      </c>
      <c r="K35">
        <v>18534.2</v>
      </c>
      <c r="L35">
        <v>13179.5</v>
      </c>
      <c r="M35">
        <v>13940.1</v>
      </c>
      <c r="N35">
        <f t="shared" ref="N35:N36" si="4">SUM(J35:M35)</f>
        <v>88900.200000000012</v>
      </c>
      <c r="Q35" s="34" t="s">
        <v>52</v>
      </c>
      <c r="R35" s="35"/>
    </row>
    <row r="36" spans="1:20" x14ac:dyDescent="0.35">
      <c r="A36" s="33"/>
      <c r="B36" s="2" t="s">
        <v>16</v>
      </c>
      <c r="D36">
        <v>1785.0883671054301</v>
      </c>
      <c r="F36">
        <v>3330.39</v>
      </c>
      <c r="G36">
        <f>SUM(F35:F36)</f>
        <v>11941.33</v>
      </c>
      <c r="I36" s="4" t="s">
        <v>9</v>
      </c>
      <c r="J36">
        <v>45522.5</v>
      </c>
      <c r="K36">
        <v>19509.599999999999</v>
      </c>
      <c r="L36">
        <v>12485.8</v>
      </c>
      <c r="M36">
        <v>13206.4</v>
      </c>
      <c r="N36">
        <f t="shared" si="4"/>
        <v>90724.299999999988</v>
      </c>
      <c r="Q36" s="9" t="s">
        <v>47</v>
      </c>
      <c r="R36" s="7">
        <v>11941.33</v>
      </c>
      <c r="T36" s="28" t="s">
        <v>224</v>
      </c>
    </row>
    <row r="37" spans="1:20" x14ac:dyDescent="0.35">
      <c r="A37" s="33"/>
      <c r="B37" s="2" t="s">
        <v>17</v>
      </c>
      <c r="D37">
        <v>14094.7530542533</v>
      </c>
      <c r="F37">
        <v>14094.7</v>
      </c>
      <c r="I37" s="4" t="s">
        <v>10</v>
      </c>
      <c r="J37">
        <v>40970.300000000003</v>
      </c>
      <c r="K37">
        <v>17558.7</v>
      </c>
      <c r="L37">
        <v>13873.1</v>
      </c>
      <c r="M37">
        <v>13206.4</v>
      </c>
      <c r="N37">
        <f t="shared" ref="N37:N38" si="5">SUM(J37:M37)</f>
        <v>85608.5</v>
      </c>
      <c r="Q37" s="9" t="s">
        <v>48</v>
      </c>
      <c r="R37" s="7">
        <v>14094.73</v>
      </c>
      <c r="T37" s="28" t="s">
        <v>225</v>
      </c>
    </row>
    <row r="38" spans="1:20" ht="15" thickBot="1" x14ac:dyDescent="0.4">
      <c r="A38" s="33"/>
      <c r="B38" s="2" t="s">
        <v>18</v>
      </c>
      <c r="D38">
        <v>14105.3608009947</v>
      </c>
      <c r="F38">
        <v>14105.4</v>
      </c>
      <c r="I38" s="4" t="s">
        <v>11</v>
      </c>
      <c r="J38">
        <v>40970.300000000003</v>
      </c>
      <c r="K38">
        <v>17558.7</v>
      </c>
      <c r="L38">
        <v>12485.8</v>
      </c>
      <c r="M38">
        <v>14673.8</v>
      </c>
      <c r="N38">
        <f t="shared" si="5"/>
        <v>85688.6</v>
      </c>
      <c r="Q38" s="10" t="s">
        <v>49</v>
      </c>
      <c r="R38" s="8">
        <v>14105.35</v>
      </c>
      <c r="T38" s="28" t="s">
        <v>226</v>
      </c>
    </row>
    <row r="39" spans="1:20" x14ac:dyDescent="0.35">
      <c r="A39" s="33"/>
      <c r="D39" s="4">
        <f>SUM(D35:D38)</f>
        <v>40141.484266512933</v>
      </c>
      <c r="E39" s="4"/>
      <c r="F39" s="4">
        <f>SUM(F35:F38)</f>
        <v>40141.43</v>
      </c>
      <c r="G39" s="4"/>
      <c r="R39">
        <f>SUM(R36:R38)</f>
        <v>40141.409999999996</v>
      </c>
    </row>
  </sheetData>
  <mergeCells count="10">
    <mergeCell ref="Q35:R35"/>
    <mergeCell ref="Q16:R16"/>
    <mergeCell ref="A21:A26"/>
    <mergeCell ref="A34:A39"/>
    <mergeCell ref="A28:A32"/>
    <mergeCell ref="A1:F1"/>
    <mergeCell ref="A2:A7"/>
    <mergeCell ref="A9:A14"/>
    <mergeCell ref="A15:A20"/>
    <mergeCell ref="Q22:R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1C82-6C6D-40EE-8BF2-E9DADBE04603}">
  <dimension ref="B1:Q34"/>
  <sheetViews>
    <sheetView topLeftCell="A2" workbookViewId="0">
      <selection activeCell="G10" sqref="G10"/>
    </sheetView>
  </sheetViews>
  <sheetFormatPr defaultRowHeight="14.5" x14ac:dyDescent="0.35"/>
  <cols>
    <col min="5" max="5" width="20" customWidth="1"/>
    <col min="6" max="7" width="22.1796875" customWidth="1"/>
  </cols>
  <sheetData>
    <row r="1" spans="2:17" ht="22" customHeight="1" x14ac:dyDescent="0.35">
      <c r="B1" s="14" t="s">
        <v>43</v>
      </c>
    </row>
    <row r="2" spans="2:17" x14ac:dyDescent="0.35">
      <c r="B2" t="s">
        <v>31</v>
      </c>
      <c r="C2" t="s">
        <v>32</v>
      </c>
      <c r="D2" t="s">
        <v>33</v>
      </c>
      <c r="E2" t="s">
        <v>31</v>
      </c>
    </row>
    <row r="3" spans="2:17" x14ac:dyDescent="0.35">
      <c r="C3" t="s">
        <v>34</v>
      </c>
      <c r="D3" t="s">
        <v>35</v>
      </c>
      <c r="E3">
        <v>503.7</v>
      </c>
      <c r="F3">
        <v>-503.4</v>
      </c>
    </row>
    <row r="4" spans="2:17" x14ac:dyDescent="0.35">
      <c r="C4" t="s">
        <v>36</v>
      </c>
      <c r="D4" t="s">
        <v>37</v>
      </c>
      <c r="E4">
        <v>692.8</v>
      </c>
      <c r="F4">
        <v>-692.5</v>
      </c>
    </row>
    <row r="5" spans="2:17" x14ac:dyDescent="0.35">
      <c r="C5" t="s">
        <v>38</v>
      </c>
      <c r="D5" t="s">
        <v>39</v>
      </c>
      <c r="E5">
        <v>-1.3</v>
      </c>
      <c r="F5">
        <v>1.6</v>
      </c>
    </row>
    <row r="6" spans="2:17" x14ac:dyDescent="0.35">
      <c r="B6" t="s">
        <v>40</v>
      </c>
      <c r="C6" t="s">
        <v>191</v>
      </c>
      <c r="D6" t="s">
        <v>192</v>
      </c>
      <c r="E6" t="s">
        <v>193</v>
      </c>
      <c r="F6" t="s">
        <v>194</v>
      </c>
      <c r="G6" t="s">
        <v>195</v>
      </c>
      <c r="H6" t="s">
        <v>196</v>
      </c>
    </row>
    <row r="7" spans="2:17" x14ac:dyDescent="0.35">
      <c r="B7" t="s">
        <v>40</v>
      </c>
      <c r="C7" t="s">
        <v>41</v>
      </c>
      <c r="D7" t="s">
        <v>35</v>
      </c>
      <c r="E7" t="s">
        <v>42</v>
      </c>
      <c r="F7" t="s">
        <v>197</v>
      </c>
      <c r="G7" t="s">
        <v>192</v>
      </c>
      <c r="H7" t="s">
        <v>36</v>
      </c>
      <c r="I7" t="s">
        <v>37</v>
      </c>
      <c r="J7" t="s">
        <v>42</v>
      </c>
      <c r="K7" t="s">
        <v>193</v>
      </c>
      <c r="L7" t="s">
        <v>194</v>
      </c>
      <c r="M7" t="s">
        <v>38</v>
      </c>
      <c r="N7" t="s">
        <v>39</v>
      </c>
      <c r="O7" t="s">
        <v>42</v>
      </c>
      <c r="P7" t="s">
        <v>195</v>
      </c>
      <c r="Q7" t="s">
        <v>198</v>
      </c>
    </row>
    <row r="10" spans="2:17" x14ac:dyDescent="0.35">
      <c r="B10" s="14" t="s">
        <v>44</v>
      </c>
    </row>
    <row r="11" spans="2:17" x14ac:dyDescent="0.35">
      <c r="B11" t="s">
        <v>31</v>
      </c>
      <c r="C11" t="s">
        <v>32</v>
      </c>
      <c r="D11" t="s">
        <v>33</v>
      </c>
      <c r="E11" t="s">
        <v>31</v>
      </c>
    </row>
    <row r="12" spans="2:17" x14ac:dyDescent="0.35">
      <c r="C12" t="s">
        <v>34</v>
      </c>
      <c r="D12" t="s">
        <v>35</v>
      </c>
      <c r="E12">
        <v>-91.3</v>
      </c>
      <c r="F12">
        <v>216.4</v>
      </c>
    </row>
    <row r="13" spans="2:17" x14ac:dyDescent="0.35">
      <c r="C13" t="s">
        <v>36</v>
      </c>
      <c r="D13" t="s">
        <v>37</v>
      </c>
      <c r="E13">
        <v>831.1</v>
      </c>
      <c r="F13">
        <v>-706</v>
      </c>
    </row>
    <row r="14" spans="2:17" x14ac:dyDescent="0.35">
      <c r="C14" t="s">
        <v>38</v>
      </c>
      <c r="D14" t="s">
        <v>39</v>
      </c>
      <c r="E14">
        <v>785.6</v>
      </c>
      <c r="F14">
        <v>-660.5</v>
      </c>
    </row>
    <row r="15" spans="2:17" x14ac:dyDescent="0.35">
      <c r="B15" t="s">
        <v>40</v>
      </c>
      <c r="C15" t="s">
        <v>199</v>
      </c>
      <c r="D15" t="s">
        <v>200</v>
      </c>
      <c r="E15" t="s">
        <v>201</v>
      </c>
      <c r="F15" t="s">
        <v>202</v>
      </c>
      <c r="G15" t="s">
        <v>203</v>
      </c>
      <c r="H15" t="s">
        <v>204</v>
      </c>
    </row>
    <row r="16" spans="2:17" x14ac:dyDescent="0.35">
      <c r="B16" t="s">
        <v>40</v>
      </c>
      <c r="C16" t="s">
        <v>41</v>
      </c>
      <c r="D16" t="s">
        <v>35</v>
      </c>
      <c r="E16" t="s">
        <v>42</v>
      </c>
      <c r="F16" t="s">
        <v>205</v>
      </c>
      <c r="G16" t="s">
        <v>200</v>
      </c>
      <c r="H16" t="s">
        <v>36</v>
      </c>
      <c r="I16" t="s">
        <v>37</v>
      </c>
      <c r="J16" t="s">
        <v>42</v>
      </c>
      <c r="K16" t="s">
        <v>201</v>
      </c>
      <c r="L16" t="s">
        <v>202</v>
      </c>
      <c r="M16" t="s">
        <v>38</v>
      </c>
      <c r="N16" t="s">
        <v>39</v>
      </c>
      <c r="O16" t="s">
        <v>42</v>
      </c>
      <c r="P16" t="s">
        <v>203</v>
      </c>
      <c r="Q16" t="s">
        <v>206</v>
      </c>
    </row>
    <row r="19" spans="2:17" x14ac:dyDescent="0.35">
      <c r="B19" s="14" t="s">
        <v>45</v>
      </c>
    </row>
    <row r="20" spans="2:17" x14ac:dyDescent="0.35">
      <c r="B20" t="s">
        <v>31</v>
      </c>
      <c r="C20" t="s">
        <v>32</v>
      </c>
      <c r="D20" t="s">
        <v>33</v>
      </c>
      <c r="E20" t="s">
        <v>31</v>
      </c>
    </row>
    <row r="21" spans="2:17" x14ac:dyDescent="0.35">
      <c r="C21" t="s">
        <v>34</v>
      </c>
      <c r="D21" t="s">
        <v>35</v>
      </c>
      <c r="E21">
        <v>454.6</v>
      </c>
      <c r="F21">
        <v>-293.60000000000002</v>
      </c>
    </row>
    <row r="22" spans="2:17" x14ac:dyDescent="0.35">
      <c r="C22" t="s">
        <v>36</v>
      </c>
      <c r="D22" t="s">
        <v>37</v>
      </c>
      <c r="E22">
        <v>1341.1</v>
      </c>
      <c r="F22">
        <v>-1180</v>
      </c>
    </row>
    <row r="23" spans="2:17" x14ac:dyDescent="0.35">
      <c r="C23" t="s">
        <v>38</v>
      </c>
      <c r="D23" t="s">
        <v>39</v>
      </c>
      <c r="E23">
        <v>-287.3</v>
      </c>
      <c r="F23">
        <v>448.4</v>
      </c>
    </row>
    <row r="24" spans="2:17" x14ac:dyDescent="0.35">
      <c r="B24" t="s">
        <v>40</v>
      </c>
      <c r="C24" t="s">
        <v>207</v>
      </c>
      <c r="D24" t="s">
        <v>208</v>
      </c>
      <c r="E24" t="s">
        <v>209</v>
      </c>
      <c r="F24" t="s">
        <v>210</v>
      </c>
      <c r="G24" t="s">
        <v>211</v>
      </c>
      <c r="H24" t="s">
        <v>212</v>
      </c>
    </row>
    <row r="25" spans="2:17" x14ac:dyDescent="0.35">
      <c r="B25" t="s">
        <v>40</v>
      </c>
      <c r="C25" t="s">
        <v>41</v>
      </c>
      <c r="D25" t="s">
        <v>35</v>
      </c>
      <c r="E25" t="s">
        <v>42</v>
      </c>
      <c r="F25" t="s">
        <v>213</v>
      </c>
      <c r="G25" t="s">
        <v>208</v>
      </c>
      <c r="H25" t="s">
        <v>36</v>
      </c>
      <c r="I25" t="s">
        <v>37</v>
      </c>
      <c r="J25" t="s">
        <v>42</v>
      </c>
      <c r="K25" t="s">
        <v>209</v>
      </c>
      <c r="L25" t="s">
        <v>210</v>
      </c>
      <c r="M25" t="s">
        <v>38</v>
      </c>
      <c r="N25" t="s">
        <v>39</v>
      </c>
      <c r="O25" t="s">
        <v>42</v>
      </c>
      <c r="P25" t="s">
        <v>211</v>
      </c>
      <c r="Q25" t="s">
        <v>214</v>
      </c>
    </row>
    <row r="28" spans="2:17" x14ac:dyDescent="0.35">
      <c r="B28" s="14" t="s">
        <v>46</v>
      </c>
    </row>
    <row r="29" spans="2:17" x14ac:dyDescent="0.35">
      <c r="B29" t="s">
        <v>31</v>
      </c>
      <c r="C29" t="s">
        <v>32</v>
      </c>
      <c r="D29" t="s">
        <v>33</v>
      </c>
      <c r="E29" t="s">
        <v>31</v>
      </c>
    </row>
    <row r="30" spans="2:17" x14ac:dyDescent="0.35">
      <c r="C30" t="s">
        <v>34</v>
      </c>
      <c r="D30" t="s">
        <v>35</v>
      </c>
      <c r="E30">
        <v>261.2</v>
      </c>
      <c r="F30">
        <v>157.5</v>
      </c>
    </row>
    <row r="31" spans="2:17" x14ac:dyDescent="0.35">
      <c r="C31" t="s">
        <v>36</v>
      </c>
      <c r="D31" t="s">
        <v>37</v>
      </c>
      <c r="E31">
        <v>890</v>
      </c>
      <c r="F31">
        <v>-471</v>
      </c>
    </row>
    <row r="32" spans="2:17" x14ac:dyDescent="0.35">
      <c r="C32" t="s">
        <v>38</v>
      </c>
      <c r="D32" t="s">
        <v>39</v>
      </c>
      <c r="E32">
        <v>550.6</v>
      </c>
      <c r="F32">
        <v>-131.6</v>
      </c>
    </row>
    <row r="33" spans="2:17" x14ac:dyDescent="0.35">
      <c r="B33" t="s">
        <v>40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</row>
    <row r="34" spans="2:17" x14ac:dyDescent="0.35">
      <c r="B34" t="s">
        <v>40</v>
      </c>
      <c r="C34" t="s">
        <v>41</v>
      </c>
      <c r="D34" t="s">
        <v>35</v>
      </c>
      <c r="E34" t="s">
        <v>42</v>
      </c>
      <c r="F34" t="s">
        <v>221</v>
      </c>
      <c r="G34" t="s">
        <v>216</v>
      </c>
      <c r="H34" t="s">
        <v>36</v>
      </c>
      <c r="I34" t="s">
        <v>37</v>
      </c>
      <c r="J34" t="s">
        <v>42</v>
      </c>
      <c r="K34" t="s">
        <v>217</v>
      </c>
      <c r="L34" t="s">
        <v>218</v>
      </c>
      <c r="M34" t="s">
        <v>38</v>
      </c>
      <c r="N34" t="s">
        <v>39</v>
      </c>
      <c r="O34" t="s">
        <v>42</v>
      </c>
      <c r="P34" t="s">
        <v>219</v>
      </c>
      <c r="Q34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CADA-4813-4D4C-9452-B2A1A6727F89}">
  <dimension ref="A1"/>
  <sheetViews>
    <sheetView workbookViewId="0">
      <selection activeCell="P3" sqref="P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params</vt:lpstr>
      <vt:lpstr>locational_const</vt:lpstr>
      <vt:lpstr>nodal allocation</vt:lpstr>
      <vt:lpstr>ATC_box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Kamaldeen Adekola</dc:creator>
  <cp:lastModifiedBy>Kamaldeen Adekola</cp:lastModifiedBy>
  <dcterms:created xsi:type="dcterms:W3CDTF">2015-06-05T18:17:20Z</dcterms:created>
  <dcterms:modified xsi:type="dcterms:W3CDTF">2026-01-18T11:27:51Z</dcterms:modified>
</cp:coreProperties>
</file>